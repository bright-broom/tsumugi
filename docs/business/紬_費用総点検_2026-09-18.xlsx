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前提" sheetId="1" state="visible" r:id="rId3"/>
    <sheet name="基本料金" sheetId="2" state="visible" r:id="rId4"/>
    <sheet name="追加と検討商品" sheetId="3" state="visible" r:id="rId5"/>
    <sheet name="月次構成" sheetId="4" state="visible" r:id="rId6"/>
    <sheet name="顧客総額" sheetId="5" state="visible" r:id="rId7"/>
    <sheet name="外部費と不足" sheetId="6" state="visible" r:id="rId8"/>
  </sheets>
  <definedNames>
    <definedName function="false" hidden="true" localSheetId="5" name="_xlnm._FilterDatabase" vbProcedure="false">外部費と不足!$A$1:$D$12</definedName>
    <definedName function="false" hidden="true" localSheetId="1" name="_xlnm._FilterDatabase" vbProcedure="false">基本料金!$A$1:$L$8</definedName>
    <definedName function="false" hidden="true" localSheetId="3" name="_xlnm._FilterDatabase" vbProcedure="false">月次構成!$A$1:$N$7</definedName>
    <definedName function="false" hidden="true" localSheetId="4" name="_xlnm._FilterDatabase" vbProcedure="false">顧客総額!$A$1:$K$5</definedName>
    <definedName function="false" hidden="true" localSheetId="0" name="_xlnm._FilterDatabase" vbProcedure="false">前提!$A$1:$C$15</definedName>
    <definedName function="false" hidden="true" localSheetId="2" name="_xlnm._FilterDatabase" vbProcedure="false">追加と検討商品!$A$1:$F$13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<sst xmlns="http://schemas.openxmlformats.org/spreadsheetml/2006/main" count="207" uniqueCount="173">
  <si>
    <t xml:space="preserve">項目</t>
  </si>
  <si>
    <t xml:space="preserve">値</t>
  </si>
  <si>
    <t xml:space="preserve">根拠・扱い</t>
  </si>
  <si>
    <t xml:space="preserve">時間原価</t>
  </si>
  <si>
    <t xml:space="preserve">既存モデルの仮定。実支払ではない</t>
  </si>
  <si>
    <t xml:space="preserve">決済率</t>
  </si>
  <si>
    <t xml:space="preserve">既存の仮定。決済手段別の実績未確認</t>
  </si>
  <si>
    <t xml:space="preserve">目標案件貢献率</t>
  </si>
  <si>
    <t xml:space="preserve">既存モデル。営業利益率ではない</t>
  </si>
  <si>
    <t xml:space="preserve">月間時間</t>
  </si>
  <si>
    <t xml:space="preserve">既存のユーザー指定</t>
  </si>
  <si>
    <t xml:space="preserve">営業事務</t>
  </si>
  <si>
    <t xml:space="preserve">仮定</t>
  </si>
  <si>
    <t xml:space="preserve">予備時間</t>
  </si>
  <si>
    <t xml:space="preserve">固定費</t>
  </si>
  <si>
    <t xml:space="preserve">内訳・実支払未確認</t>
  </si>
  <si>
    <t xml:space="preserve">工数ストレス</t>
  </si>
  <si>
    <r>
      <rPr>
        <sz val="10"/>
        <color rgb="FF333333"/>
        <rFont val="Noto Sans JP"/>
        <family val="0"/>
        <charset val="1"/>
      </rPr>
      <t xml:space="preserve">25%</t>
    </r>
    <r>
      <rPr>
        <sz val="10"/>
        <color rgb="FF333333"/>
        <rFont val="Linux Libertine G"/>
        <family val="2"/>
      </rPr>
      <t xml:space="preserve">増の仮定</t>
    </r>
  </si>
  <si>
    <t xml:space="preserve">支援追加時間</t>
  </si>
  <si>
    <r>
      <rPr>
        <sz val="10"/>
        <color rgb="FF333333"/>
        <rFont val="Noto Sans JP"/>
        <family val="0"/>
        <charset val="1"/>
      </rPr>
      <t xml:space="preserve">1</t>
    </r>
    <r>
      <rPr>
        <sz val="10"/>
        <color rgb="FF333333"/>
        <rFont val="Linux Libertine G"/>
        <family val="2"/>
      </rPr>
      <t xml:space="preserve">社あたり</t>
    </r>
    <r>
      <rPr>
        <sz val="10"/>
        <color rgb="FF333333"/>
        <rFont val="Noto Sans JP"/>
        <family val="0"/>
        <charset val="1"/>
      </rPr>
      <t xml:space="preserve">30</t>
    </r>
    <r>
      <rPr>
        <sz val="10"/>
        <color rgb="FF333333"/>
        <rFont val="Linux Libertine G"/>
        <family val="2"/>
      </rPr>
      <t xml:space="preserve">分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月の仮定</t>
    </r>
  </si>
  <si>
    <t xml:space="preserve">顧客外部費月額</t>
  </si>
  <si>
    <t xml:space="preserve">公開の仮置き。実見積に置換</t>
  </si>
  <si>
    <t xml:space="preserve">比較月数</t>
  </si>
  <si>
    <t xml:space="preserve">顧客総額の期間</t>
  </si>
  <si>
    <t xml:space="preserve">通常予約上限</t>
  </si>
  <si>
    <r>
      <rPr>
        <sz val="10"/>
        <color rgb="FF333333"/>
        <rFont val="Noto Sans JP"/>
        <family val="0"/>
        <charset val="1"/>
      </rPr>
      <t xml:space="preserve">25%</t>
    </r>
    <r>
      <rPr>
        <sz val="10"/>
        <color rgb="FF333333"/>
        <rFont val="Linux Libertine G"/>
        <family val="2"/>
      </rPr>
      <t xml:space="preserve">の工数増を吸収する目安。追加支援ストレスは別</t>
    </r>
  </si>
  <si>
    <t xml:space="preserve">読み方</t>
  </si>
  <si>
    <t xml:space="preserve">未採用案</t>
  </si>
  <si>
    <t xml:space="preserve">青文字・黄色セルが入力。黒文字は数式。新価格をサイトへ自動反映しない</t>
  </si>
  <si>
    <t xml:space="preserve">境界</t>
  </si>
  <si>
    <t xml:space="preserve">税別円</t>
  </si>
  <si>
    <r>
      <rPr>
        <sz val="10"/>
        <color rgb="FF333333"/>
        <rFont val="Linux Libertine G"/>
        <family val="2"/>
      </rPr>
      <t xml:space="preserve">外部料金は出典の通貨・税込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税別を別記。余力は税引後利益ではない</t>
    </r>
  </si>
  <si>
    <t xml:space="preserve">商品</t>
  </si>
  <si>
    <t xml:space="preserve">状態</t>
  </si>
  <si>
    <t xml:space="preserve">現行価格</t>
  </si>
  <si>
    <r>
      <rPr>
        <b val="true"/>
        <sz val="11"/>
        <color rgb="FFFFFFFF"/>
        <rFont val="Linux Libertine G"/>
        <family val="2"/>
      </rPr>
      <t xml:space="preserve">現行時間</t>
    </r>
    <r>
      <rPr>
        <b val="true"/>
        <sz val="11"/>
        <color rgb="FFFFFFFF"/>
        <rFont val="Noto Sans JP"/>
        <family val="0"/>
        <charset val="1"/>
      </rPr>
      <t xml:space="preserve">h</t>
    </r>
  </si>
  <si>
    <r>
      <rPr>
        <b val="true"/>
        <sz val="11"/>
        <color rgb="FFFFFFFF"/>
        <rFont val="Linux Libertine G"/>
        <family val="2"/>
      </rPr>
      <t xml:space="preserve">現金費</t>
    </r>
    <r>
      <rPr>
        <b val="true"/>
        <sz val="11"/>
        <color rgb="FFFFFFFF"/>
        <rFont val="Noto Sans JP"/>
        <family val="0"/>
        <charset val="1"/>
      </rPr>
      <t xml:space="preserve">+</t>
    </r>
    <r>
      <rPr>
        <b val="true"/>
        <sz val="11"/>
        <color rgb="FFFFFFFF"/>
        <rFont val="Linux Libertine G"/>
        <family val="2"/>
      </rPr>
      <t xml:space="preserve">獲得費</t>
    </r>
  </si>
  <si>
    <t xml:space="preserve">現行貢献率</t>
  </si>
  <si>
    <r>
      <rPr>
        <b val="true"/>
        <sz val="11"/>
        <color rgb="FFFFFFFF"/>
        <rFont val="Noto Sans JP"/>
        <family val="0"/>
        <charset val="1"/>
      </rPr>
      <t xml:space="preserve">50%</t>
    </r>
    <r>
      <rPr>
        <b val="true"/>
        <sz val="11"/>
        <color rgb="FFFFFFFF"/>
        <rFont val="Linux Libertine G"/>
        <family val="2"/>
      </rPr>
      <t xml:space="preserve">維持の上限</t>
    </r>
    <r>
      <rPr>
        <b val="true"/>
        <sz val="11"/>
        <color rgb="FFFFFFFF"/>
        <rFont val="Noto Sans JP"/>
        <family val="0"/>
        <charset val="1"/>
      </rPr>
      <t xml:space="preserve">h</t>
    </r>
  </si>
  <si>
    <r>
      <rPr>
        <b val="true"/>
        <sz val="11"/>
        <color rgb="FFFFFFFF"/>
        <rFont val="Noto Sans JP"/>
        <family val="0"/>
        <charset val="1"/>
      </rPr>
      <t xml:space="preserve">25%</t>
    </r>
    <r>
      <rPr>
        <b val="true"/>
        <sz val="11"/>
        <color rgb="FFFFFFFF"/>
        <rFont val="Linux Libertine G"/>
        <family val="2"/>
      </rPr>
      <t xml:space="preserve">増時の最低価格</t>
    </r>
  </si>
  <si>
    <t xml:space="preserve">改定検討価格</t>
  </si>
  <si>
    <r>
      <rPr>
        <b val="true"/>
        <sz val="11"/>
        <color rgb="FFFFFFFF"/>
        <rFont val="Linux Libertine G"/>
        <family val="2"/>
      </rPr>
      <t xml:space="preserve">検討時の時間</t>
    </r>
    <r>
      <rPr>
        <b val="true"/>
        <sz val="11"/>
        <color rgb="FFFFFFFF"/>
        <rFont val="Noto Sans JP"/>
        <family val="0"/>
        <charset val="1"/>
      </rPr>
      <t xml:space="preserve">h</t>
    </r>
  </si>
  <si>
    <t xml:space="preserve">検討価格の貢献率</t>
  </si>
  <si>
    <t xml:space="preserve">出所</t>
  </si>
  <si>
    <t xml:space="preserve">入口をつくる</t>
  </si>
  <si>
    <t xml:space="preserve">現行</t>
  </si>
  <si>
    <r>
      <rPr>
        <sz val="10"/>
        <color rgb="FF333333"/>
        <rFont val="Noto Sans JP"/>
        <family val="0"/>
        <charset val="1"/>
      </rPr>
      <t xml:space="preserve">proposal.json / </t>
    </r>
    <r>
      <rPr>
        <sz val="10"/>
        <color rgb="FF333333"/>
        <rFont val="Linux Libertine G"/>
        <family val="2"/>
      </rPr>
      <t xml:space="preserve">改定価格は今回の未採用提案</t>
    </r>
  </si>
  <si>
    <t xml:space="preserve">事業の土台をつくる</t>
  </si>
  <si>
    <t xml:space="preserve">情報を育てる</t>
  </si>
  <si>
    <t xml:space="preserve">準備中</t>
  </si>
  <si>
    <t xml:space="preserve">自分で管理</t>
  </si>
  <si>
    <t xml:space="preserve">守る</t>
  </si>
  <si>
    <t xml:space="preserve">提供条件確認が必要</t>
  </si>
  <si>
    <t xml:space="preserve">整える</t>
  </si>
  <si>
    <t xml:space="preserve">育てる</t>
  </si>
  <si>
    <r>
      <rPr>
        <b val="true"/>
        <sz val="11"/>
        <color rgb="FFFFFFFF"/>
        <rFont val="Linux Libertine G"/>
        <family val="2"/>
      </rPr>
      <t xml:space="preserve">現行</t>
    </r>
    <r>
      <rPr>
        <b val="true"/>
        <sz val="11"/>
        <color rgb="FFFFFFFF"/>
        <rFont val="Noto Sans JP"/>
        <family val="0"/>
        <charset val="1"/>
      </rPr>
      <t xml:space="preserve">/</t>
    </r>
    <r>
      <rPr>
        <b val="true"/>
        <sz val="11"/>
        <color rgb="FFFFFFFF"/>
        <rFont val="Linux Libertine G"/>
        <family val="2"/>
      </rPr>
      <t xml:space="preserve">検討価格</t>
    </r>
  </si>
  <si>
    <t xml:space="preserve">現金費の仮入力</t>
  </si>
  <si>
    <r>
      <rPr>
        <b val="true"/>
        <sz val="11"/>
        <color rgb="FFFFFFFF"/>
        <rFont val="Noto Sans JP"/>
        <family val="0"/>
        <charset val="1"/>
      </rPr>
      <t xml:space="preserve">50%</t>
    </r>
    <r>
      <rPr>
        <b val="true"/>
        <sz val="11"/>
        <color rgb="FFFFFFFF"/>
        <rFont val="Linux Libertine G"/>
        <family val="2"/>
      </rPr>
      <t xml:space="preserve">維持の最大時間</t>
    </r>
    <r>
      <rPr>
        <b val="true"/>
        <sz val="11"/>
        <color rgb="FFFFFFFF"/>
        <rFont val="Noto Sans JP"/>
        <family val="0"/>
        <charset val="1"/>
      </rPr>
      <t xml:space="preserve">h</t>
    </r>
  </si>
  <si>
    <t xml:space="preserve">判断</t>
  </si>
  <si>
    <t xml:space="preserve">根拠</t>
  </si>
  <si>
    <t xml:space="preserve">追加ページ</t>
  </si>
  <si>
    <r>
      <rPr>
        <sz val="10"/>
        <color rgb="FF333333"/>
        <rFont val="Noto Sans JP"/>
        <family val="0"/>
        <charset val="1"/>
      </rPr>
      <t xml:space="preserve">3.10h</t>
    </r>
    <r>
      <rPr>
        <sz val="10"/>
        <color rgb="FF333333"/>
        <rFont val="Linux Libertine G"/>
        <family val="2"/>
      </rPr>
      <t xml:space="preserve">以内（現金費</t>
    </r>
    <r>
      <rPr>
        <sz val="10"/>
        <color rgb="FF333333"/>
        <rFont val="Noto Sans JP"/>
        <family val="0"/>
        <charset val="1"/>
      </rPr>
      <t xml:space="preserve">0</t>
    </r>
    <r>
      <rPr>
        <sz val="10"/>
        <color rgb="FF333333"/>
        <rFont val="Linux Libertine G"/>
        <family val="2"/>
      </rPr>
      <t xml:space="preserve">の場合）。新規構成・原稿は別</t>
    </r>
  </si>
  <si>
    <r>
      <rPr>
        <sz val="10"/>
        <color rgb="FF333333"/>
        <rFont val="Noto Sans JP"/>
        <family val="0"/>
        <charset val="1"/>
      </rPr>
      <t xml:space="preserve">prices.ts / PROPOSED_PRICES</t>
    </r>
    <r>
      <rPr>
        <sz val="10"/>
        <color rgb="FF333333"/>
        <rFont val="Linux Libertine G"/>
        <family val="2"/>
      </rPr>
      <t xml:space="preserve">。現金費</t>
    </r>
    <r>
      <rPr>
        <sz val="10"/>
        <color rgb="FF333333"/>
        <rFont val="Noto Sans JP"/>
        <family val="0"/>
        <charset val="1"/>
      </rPr>
      <t xml:space="preserve">0</t>
    </r>
    <r>
      <rPr>
        <sz val="10"/>
        <color rgb="FF333333"/>
        <rFont val="Linux Libertine G"/>
        <family val="2"/>
      </rPr>
      <t xml:space="preserve">は上限確認用であり実原価ではない</t>
    </r>
  </si>
  <si>
    <t xml:space="preserve">半日撮影</t>
  </si>
  <si>
    <t xml:space="preserve">参考額維持。移動・編集・外注を個別積算</t>
  </si>
  <si>
    <r>
      <rPr>
        <sz val="10"/>
        <color rgb="FF333333"/>
        <rFont val="Noto Sans JP"/>
        <family val="0"/>
        <charset val="1"/>
      </rPr>
      <t xml:space="preserve">1</t>
    </r>
    <r>
      <rPr>
        <sz val="10"/>
        <color rgb="FF333333"/>
        <rFont val="Linux Libertine G"/>
        <family val="2"/>
      </rPr>
      <t xml:space="preserve">日撮影</t>
    </r>
  </si>
  <si>
    <t xml:space="preserve">参考額維持。現場だけでなく準備と編集を含む</t>
  </si>
  <si>
    <t xml:space="preserve">ロゴ</t>
  </si>
  <si>
    <t xml:space="preserve">提案数・修正・権利範囲を確定</t>
  </si>
  <si>
    <t xml:space="preserve">取材記事</t>
  </si>
  <si>
    <t xml:space="preserve">取材・文字起こし・執筆・確認を合算</t>
  </si>
  <si>
    <t xml:space="preserve">LP</t>
  </si>
  <si>
    <r>
      <rPr>
        <sz val="10"/>
        <color rgb="FF333333"/>
        <rFont val="Noto Sans JP"/>
        <family val="0"/>
        <charset val="1"/>
      </rPr>
      <t xml:space="preserve">18.61h</t>
    </r>
    <r>
      <rPr>
        <sz val="10"/>
        <color rgb="FF333333"/>
        <rFont val="Linux Libertine G"/>
        <family val="2"/>
      </rPr>
      <t xml:space="preserve">が上限（現金費</t>
    </r>
    <r>
      <rPr>
        <sz val="10"/>
        <color rgb="FF333333"/>
        <rFont val="Noto Sans JP"/>
        <family val="0"/>
        <charset val="1"/>
      </rPr>
      <t xml:space="preserve">0</t>
    </r>
    <r>
      <rPr>
        <sz val="10"/>
        <color rgb="FF333333"/>
        <rFont val="Linux Libertine G"/>
        <family val="2"/>
      </rPr>
      <t xml:space="preserve">）。原稿・確認を含め実測</t>
    </r>
  </si>
  <si>
    <t xml:space="preserve">外部予約連携</t>
  </si>
  <si>
    <r>
      <rPr>
        <sz val="10"/>
        <color rgb="FF333333"/>
        <rFont val="Linux Libertine G"/>
        <family val="2"/>
      </rPr>
      <t xml:space="preserve">リンク設置と</t>
    </r>
    <r>
      <rPr>
        <sz val="10"/>
        <color rgb="FF333333"/>
        <rFont val="Noto Sans JP"/>
        <family val="0"/>
        <charset val="1"/>
      </rPr>
      <t xml:space="preserve">API</t>
    </r>
    <r>
      <rPr>
        <sz val="10"/>
        <color rgb="FF333333"/>
        <rFont val="Linux Libertine G"/>
        <family val="2"/>
      </rPr>
      <t xml:space="preserve">開発を分離</t>
    </r>
  </si>
  <si>
    <t xml:space="preserve">追加言語</t>
  </si>
  <si>
    <t xml:space="preserve">準備中。翻訳と継続更新の費用は別</t>
  </si>
  <si>
    <r>
      <rPr>
        <sz val="10"/>
        <color rgb="FF333333"/>
        <rFont val="Linux Libertine G"/>
        <family val="2"/>
      </rPr>
      <t xml:space="preserve">個別</t>
    </r>
    <r>
      <rPr>
        <sz val="10"/>
        <color rgb="FF333333"/>
        <rFont val="Noto Sans JP"/>
        <family val="0"/>
        <charset val="1"/>
      </rPr>
      <t xml:space="preserve">CMS</t>
    </r>
    <r>
      <rPr>
        <sz val="10"/>
        <color rgb="FF333333"/>
        <rFont val="Linux Libertine G"/>
        <family val="2"/>
      </rPr>
      <t xml:space="preserve">案</t>
    </r>
  </si>
  <si>
    <r>
      <rPr>
        <sz val="10"/>
        <color rgb="FF333333"/>
        <rFont val="Linux Libertine G"/>
        <family val="2"/>
      </rPr>
      <t xml:space="preserve">未採用。</t>
    </r>
    <r>
      <rPr>
        <sz val="10"/>
        <color rgb="FF333333"/>
        <rFont val="Noto Sans JP"/>
        <family val="0"/>
        <charset val="1"/>
      </rPr>
      <t xml:space="preserve">36h</t>
    </r>
    <r>
      <rPr>
        <sz val="10"/>
        <color rgb="FF333333"/>
        <rFont val="Linux Libertine G"/>
        <family val="2"/>
      </rPr>
      <t xml:space="preserve">と現金費</t>
    </r>
    <r>
      <rPr>
        <sz val="10"/>
        <color rgb="FF333333"/>
        <rFont val="Noto Sans JP"/>
        <family val="0"/>
        <charset val="1"/>
      </rPr>
      <t xml:space="preserve">4</t>
    </r>
    <r>
      <rPr>
        <sz val="10"/>
        <color rgb="FF333333"/>
        <rFont val="Linux Libertine G"/>
        <family val="2"/>
      </rPr>
      <t xml:space="preserve">万円の既存仮定では</t>
    </r>
    <r>
      <rPr>
        <sz val="10"/>
        <color rgb="FF333333"/>
        <rFont val="Noto Sans JP"/>
        <family val="0"/>
        <charset val="1"/>
      </rPr>
      <t xml:space="preserve">25%</t>
    </r>
    <r>
      <rPr>
        <sz val="10"/>
        <color rgb="FF333333"/>
        <rFont val="Linux Libertine G"/>
        <family val="2"/>
      </rPr>
      <t xml:space="preserve">増にも対応</t>
    </r>
  </si>
  <si>
    <t xml:space="preserve">独自機能案</t>
  </si>
  <si>
    <r>
      <rPr>
        <sz val="10"/>
        <color rgb="FF333333"/>
        <rFont val="Linux Libertine G"/>
        <family val="2"/>
      </rPr>
      <t xml:space="preserve">未採用。</t>
    </r>
    <r>
      <rPr>
        <sz val="10"/>
        <color rgb="FF333333"/>
        <rFont val="Noto Sans JP"/>
        <family val="0"/>
        <charset val="1"/>
      </rPr>
      <t xml:space="preserve">50h</t>
    </r>
    <r>
      <rPr>
        <sz val="10"/>
        <color rgb="FF333333"/>
        <rFont val="Linux Libertine G"/>
        <family val="2"/>
      </rPr>
      <t xml:space="preserve">と現金費</t>
    </r>
    <r>
      <rPr>
        <sz val="10"/>
        <color rgb="FF333333"/>
        <rFont val="Noto Sans JP"/>
        <family val="0"/>
        <charset val="1"/>
      </rPr>
      <t xml:space="preserve">5</t>
    </r>
    <r>
      <rPr>
        <sz val="10"/>
        <color rgb="FF333333"/>
        <rFont val="Linux Libertine G"/>
        <family val="2"/>
      </rPr>
      <t xml:space="preserve">万円の仮定。運用責任は別</t>
    </r>
  </si>
  <si>
    <t xml:space="preserve">設計案</t>
  </si>
  <si>
    <t xml:space="preserve">未採用。開発受注時は総額の内訳。二重請求しない</t>
  </si>
  <si>
    <r>
      <rPr>
        <sz val="10"/>
        <color rgb="FF333333"/>
        <rFont val="Linux Libertine G"/>
        <family val="2"/>
      </rPr>
      <t xml:space="preserve">技術保守案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月</t>
    </r>
  </si>
  <si>
    <t xml:space="preserve">未採用。既存の育てるとは別商品。対応時間・現金原価未確定</t>
  </si>
  <si>
    <t xml:space="preserve">ケース</t>
  </si>
  <si>
    <t xml:space="preserve">土台件数</t>
  </si>
  <si>
    <r>
      <rPr>
        <b val="true"/>
        <sz val="11"/>
        <color rgb="FFFFFFFF"/>
        <rFont val="Noto Sans JP"/>
        <family val="0"/>
        <charset val="1"/>
      </rPr>
      <t xml:space="preserve">CMS</t>
    </r>
    <r>
      <rPr>
        <b val="true"/>
        <sz val="11"/>
        <color rgb="FFFFFFFF"/>
        <rFont val="Linux Libertine G"/>
        <family val="2"/>
      </rPr>
      <t xml:space="preserve">件数</t>
    </r>
  </si>
  <si>
    <t xml:space="preserve">守る社数</t>
  </si>
  <si>
    <t xml:space="preserve">整える社数</t>
  </si>
  <si>
    <t xml:space="preserve">育てる社数</t>
  </si>
  <si>
    <t xml:space="preserve">価格区分</t>
  </si>
  <si>
    <t xml:space="preserve">売上</t>
  </si>
  <si>
    <r>
      <rPr>
        <b val="true"/>
        <sz val="11"/>
        <color rgb="FFFFFFFF"/>
        <rFont val="Linux Libertine G"/>
        <family val="2"/>
      </rPr>
      <t xml:space="preserve">工数</t>
    </r>
    <r>
      <rPr>
        <b val="true"/>
        <sz val="11"/>
        <color rgb="FFFFFFFF"/>
        <rFont val="Noto Sans JP"/>
        <family val="0"/>
        <charset val="1"/>
      </rPr>
      <t xml:space="preserve">h</t>
    </r>
  </si>
  <si>
    <t xml:space="preserve">現金変動費</t>
  </si>
  <si>
    <r>
      <rPr>
        <b val="true"/>
        <sz val="11"/>
        <color rgb="FFFFFFFF"/>
        <rFont val="Linux Libertine G"/>
        <family val="2"/>
      </rPr>
      <t xml:space="preserve">全</t>
    </r>
    <r>
      <rPr>
        <b val="true"/>
        <sz val="11"/>
        <color rgb="FFFFFFFF"/>
        <rFont val="Noto Sans JP"/>
        <family val="0"/>
        <charset val="1"/>
      </rPr>
      <t xml:space="preserve">140h</t>
    </r>
    <r>
      <rPr>
        <b val="true"/>
        <sz val="11"/>
        <color rgb="FFFFFFFF"/>
        <rFont val="Linux Libertine G"/>
        <family val="2"/>
      </rPr>
      <t xml:space="preserve">評価後余力</t>
    </r>
  </si>
  <si>
    <r>
      <rPr>
        <b val="true"/>
        <sz val="11"/>
        <color rgb="FFFFFFFF"/>
        <rFont val="Noto Sans JP"/>
        <family val="0"/>
        <charset val="1"/>
      </rPr>
      <t xml:space="preserve">25%</t>
    </r>
    <r>
      <rPr>
        <b val="true"/>
        <sz val="11"/>
        <color rgb="FFFFFFFF"/>
        <rFont val="Linux Libertine G"/>
        <family val="2"/>
      </rPr>
      <t xml:space="preserve">増</t>
    </r>
    <r>
      <rPr>
        <b val="true"/>
        <sz val="11"/>
        <color rgb="FFFFFFFF"/>
        <rFont val="Noto Sans JP"/>
        <family val="0"/>
        <charset val="1"/>
      </rPr>
      <t xml:space="preserve">+</t>
    </r>
    <r>
      <rPr>
        <b val="true"/>
        <sz val="11"/>
        <color rgb="FFFFFFFF"/>
        <rFont val="Linux Libertine G"/>
        <family val="2"/>
      </rPr>
      <t xml:space="preserve">支援</t>
    </r>
    <r>
      <rPr>
        <b val="true"/>
        <sz val="11"/>
        <color rgb="FFFFFFFF"/>
        <rFont val="Noto Sans JP"/>
        <family val="0"/>
        <charset val="1"/>
      </rPr>
      <t xml:space="preserve">30</t>
    </r>
    <r>
      <rPr>
        <b val="true"/>
        <sz val="11"/>
        <color rgb="FFFFFFFF"/>
        <rFont val="Linux Libertine G"/>
        <family val="2"/>
      </rPr>
      <t xml:space="preserve">分</t>
    </r>
    <r>
      <rPr>
        <b val="true"/>
        <sz val="11"/>
        <color rgb="FFFFFFFF"/>
        <rFont val="Noto Sans JP"/>
        <family val="0"/>
        <charset val="1"/>
      </rPr>
      <t xml:space="preserve">h</t>
    </r>
  </si>
  <si>
    <r>
      <rPr>
        <b val="true"/>
        <sz val="11"/>
        <color rgb="FFFFFFFF"/>
        <rFont val="Noto Sans JP"/>
        <family val="0"/>
        <charset val="1"/>
      </rPr>
      <t xml:space="preserve">84h</t>
    </r>
    <r>
      <rPr>
        <b val="true"/>
        <sz val="11"/>
        <color rgb="FFFFFFFF"/>
        <rFont val="Linux Libertine G"/>
        <family val="2"/>
      </rPr>
      <t xml:space="preserve">以内</t>
    </r>
  </si>
  <si>
    <t xml:space="preserve">注意</t>
  </si>
  <si>
    <t xml:space="preserve">既存将来モデル</t>
  </si>
  <si>
    <r>
      <rPr>
        <sz val="10"/>
        <color rgb="FF333333"/>
        <rFont val="Noto Sans JP"/>
        <family val="0"/>
        <charset val="1"/>
      </rPr>
      <t xml:space="preserve">CMS</t>
    </r>
    <r>
      <rPr>
        <sz val="10"/>
        <color rgb="FF333333"/>
        <rFont val="Linux Libertine G"/>
        <family val="2"/>
      </rPr>
      <t xml:space="preserve">未提供・</t>
    </r>
    <r>
      <rPr>
        <sz val="10"/>
        <color rgb="FF333333"/>
        <rFont val="Noto Sans JP"/>
        <family val="0"/>
        <charset val="1"/>
      </rPr>
      <t xml:space="preserve">32</t>
    </r>
    <r>
      <rPr>
        <sz val="10"/>
        <color rgb="FF333333"/>
        <rFont val="Linux Libertine G"/>
        <family val="2"/>
      </rPr>
      <t xml:space="preserve">社は仮定</t>
    </r>
  </si>
  <si>
    <r>
      <rPr>
        <sz val="10"/>
        <color rgb="FF333333"/>
        <rFont val="Noto Sans JP"/>
        <family val="0"/>
        <charset val="1"/>
      </rPr>
      <t xml:space="preserve">CMS</t>
    </r>
    <r>
      <rPr>
        <sz val="10"/>
        <color rgb="FF333333"/>
        <rFont val="Linux Libertine G"/>
        <family val="2"/>
      </rPr>
      <t xml:space="preserve">除外</t>
    </r>
  </si>
  <si>
    <r>
      <rPr>
        <sz val="10"/>
        <color rgb="FF333333"/>
        <rFont val="Noto Sans JP"/>
        <family val="0"/>
        <charset val="1"/>
      </rPr>
      <t xml:space="preserve">32</t>
    </r>
    <r>
      <rPr>
        <sz val="10"/>
        <color rgb="FF333333"/>
        <rFont val="Linux Libertine G"/>
        <family val="2"/>
      </rPr>
      <t xml:space="preserve">社は仮定</t>
    </r>
  </si>
  <si>
    <r>
      <rPr>
        <sz val="10"/>
        <color rgb="FF333333"/>
        <rFont val="Linux Libertine G"/>
        <family val="2"/>
      </rPr>
      <t xml:space="preserve">土台</t>
    </r>
    <r>
      <rPr>
        <sz val="10"/>
        <color rgb="FF333333"/>
        <rFont val="Noto Sans JP"/>
        <family val="0"/>
        <charset val="1"/>
      </rPr>
      <t xml:space="preserve">2</t>
    </r>
    <r>
      <rPr>
        <sz val="10"/>
        <color rgb="FF333333"/>
        <rFont val="Linux Libertine G"/>
        <family val="2"/>
      </rPr>
      <t xml:space="preserve">件</t>
    </r>
  </si>
  <si>
    <r>
      <rPr>
        <sz val="10"/>
        <color rgb="FF333333"/>
        <rFont val="Linux Libertine G"/>
        <family val="2"/>
      </rPr>
      <t xml:space="preserve">土台</t>
    </r>
    <r>
      <rPr>
        <sz val="10"/>
        <color rgb="FF333333"/>
        <rFont val="Noto Sans JP"/>
        <family val="0"/>
        <charset val="1"/>
      </rPr>
      <t xml:space="preserve">3</t>
    </r>
    <r>
      <rPr>
        <sz val="10"/>
        <color rgb="FF333333"/>
        <rFont val="Linux Libertine G"/>
        <family val="2"/>
      </rPr>
      <t xml:space="preserve">件</t>
    </r>
  </si>
  <si>
    <r>
      <rPr>
        <sz val="10"/>
        <color rgb="FF333333"/>
        <rFont val="Linux Libertine G"/>
        <family val="2"/>
      </rPr>
      <t xml:space="preserve">通常予約</t>
    </r>
    <r>
      <rPr>
        <sz val="10"/>
        <color rgb="FF333333"/>
        <rFont val="Noto Sans JP"/>
        <family val="0"/>
        <charset val="1"/>
      </rPr>
      <t xml:space="preserve">67.2h</t>
    </r>
    <r>
      <rPr>
        <sz val="10"/>
        <color rgb="FF333333"/>
        <rFont val="Linux Libertine G"/>
        <family val="2"/>
      </rPr>
      <t xml:space="preserve">超過</t>
    </r>
  </si>
  <si>
    <r>
      <rPr>
        <sz val="10"/>
        <color rgb="FF333333"/>
        <rFont val="Linux Libertine G"/>
        <family val="2"/>
      </rPr>
      <t xml:space="preserve">改定検討 土台</t>
    </r>
    <r>
      <rPr>
        <sz val="10"/>
        <color rgb="FF333333"/>
        <rFont val="Noto Sans JP"/>
        <family val="0"/>
        <charset val="1"/>
      </rPr>
      <t xml:space="preserve">2</t>
    </r>
    <r>
      <rPr>
        <sz val="10"/>
        <color rgb="FF333333"/>
        <rFont val="Linux Libertine G"/>
        <family val="2"/>
      </rPr>
      <t xml:space="preserve">件</t>
    </r>
  </si>
  <si>
    <t xml:space="preserve">検討</t>
  </si>
  <si>
    <t xml:space="preserve">新価格の需要は未確認。工数も増やした保守的入力</t>
  </si>
  <si>
    <r>
      <rPr>
        <sz val="10"/>
        <color rgb="FF333333"/>
        <rFont val="Linux Libertine G"/>
        <family val="2"/>
      </rPr>
      <t xml:space="preserve">立上げ 土台</t>
    </r>
    <r>
      <rPr>
        <sz val="10"/>
        <color rgb="FF333333"/>
        <rFont val="Noto Sans JP"/>
        <family val="0"/>
        <charset val="1"/>
      </rPr>
      <t xml:space="preserve">1</t>
    </r>
    <r>
      <rPr>
        <sz val="10"/>
        <color rgb="FF333333"/>
        <rFont val="Linux Libertine G"/>
        <family val="2"/>
      </rPr>
      <t xml:space="preserve">件のみ</t>
    </r>
  </si>
  <si>
    <t xml:space="preserve">支援顧客なし</t>
  </si>
  <si>
    <t xml:space="preserve">制作</t>
  </si>
  <si>
    <t xml:space="preserve">支援</t>
  </si>
  <si>
    <t xml:space="preserve">現行制作</t>
  </si>
  <si>
    <r>
      <rPr>
        <b val="true"/>
        <sz val="11"/>
        <color rgb="FFFFFFFF"/>
        <rFont val="Linux Libertine G"/>
        <family val="2"/>
      </rPr>
      <t xml:space="preserve">現行支援</t>
    </r>
    <r>
      <rPr>
        <b val="true"/>
        <sz val="11"/>
        <color rgb="FFFFFFFF"/>
        <rFont val="Noto Sans JP"/>
        <family val="0"/>
        <charset val="1"/>
      </rPr>
      <t xml:space="preserve">/</t>
    </r>
    <r>
      <rPr>
        <b val="true"/>
        <sz val="11"/>
        <color rgb="FFFFFFFF"/>
        <rFont val="Linux Libertine G"/>
        <family val="2"/>
      </rPr>
      <t xml:space="preserve">月</t>
    </r>
  </si>
  <si>
    <t xml:space="preserve">検討制作</t>
  </si>
  <si>
    <r>
      <rPr>
        <b val="true"/>
        <sz val="11"/>
        <color rgb="FFFFFFFF"/>
        <rFont val="Linux Libertine G"/>
        <family val="2"/>
      </rPr>
      <t xml:space="preserve">検討支援</t>
    </r>
    <r>
      <rPr>
        <b val="true"/>
        <sz val="11"/>
        <color rgb="FFFFFFFF"/>
        <rFont val="Noto Sans JP"/>
        <family val="0"/>
        <charset val="1"/>
      </rPr>
      <t xml:space="preserve">/</t>
    </r>
    <r>
      <rPr>
        <b val="true"/>
        <sz val="11"/>
        <color rgb="FFFFFFFF"/>
        <rFont val="Linux Libertine G"/>
        <family val="2"/>
      </rPr>
      <t xml:space="preserve">月</t>
    </r>
  </si>
  <si>
    <r>
      <rPr>
        <b val="true"/>
        <sz val="11"/>
        <color rgb="FFFFFFFF"/>
        <rFont val="Linux Libertine G"/>
        <family val="2"/>
      </rPr>
      <t xml:space="preserve">外部費</t>
    </r>
    <r>
      <rPr>
        <b val="true"/>
        <sz val="11"/>
        <color rgb="FFFFFFFF"/>
        <rFont val="Noto Sans JP"/>
        <family val="0"/>
        <charset val="1"/>
      </rPr>
      <t xml:space="preserve">/</t>
    </r>
    <r>
      <rPr>
        <b val="true"/>
        <sz val="11"/>
        <color rgb="FFFFFFFF"/>
        <rFont val="Linux Libertine G"/>
        <family val="2"/>
      </rPr>
      <t xml:space="preserve">月</t>
    </r>
  </si>
  <si>
    <r>
      <rPr>
        <b val="true"/>
        <sz val="11"/>
        <color rgb="FFFFFFFF"/>
        <rFont val="Linux Libertine G"/>
        <family val="2"/>
      </rPr>
      <t xml:space="preserve">現行</t>
    </r>
    <r>
      <rPr>
        <b val="true"/>
        <sz val="11"/>
        <color rgb="FFFFFFFF"/>
        <rFont val="Noto Sans JP"/>
        <family val="0"/>
        <charset val="1"/>
      </rPr>
      <t xml:space="preserve">36</t>
    </r>
    <r>
      <rPr>
        <b val="true"/>
        <sz val="11"/>
        <color rgb="FFFFFFFF"/>
        <rFont val="Linux Libertine G"/>
        <family val="2"/>
      </rPr>
      <t xml:space="preserve">か月</t>
    </r>
  </si>
  <si>
    <r>
      <rPr>
        <b val="true"/>
        <sz val="11"/>
        <color rgb="FFFFFFFF"/>
        <rFont val="Linux Libertine G"/>
        <family val="2"/>
      </rPr>
      <t xml:space="preserve">検討</t>
    </r>
    <r>
      <rPr>
        <b val="true"/>
        <sz val="11"/>
        <color rgb="FFFFFFFF"/>
        <rFont val="Noto Sans JP"/>
        <family val="0"/>
        <charset val="1"/>
      </rPr>
      <t xml:space="preserve">36</t>
    </r>
    <r>
      <rPr>
        <b val="true"/>
        <sz val="11"/>
        <color rgb="FFFFFFFF"/>
        <rFont val="Linux Libertine G"/>
        <family val="2"/>
      </rPr>
      <t xml:space="preserve">か月</t>
    </r>
  </si>
  <si>
    <t xml:space="preserve">差</t>
  </si>
  <si>
    <r>
      <rPr>
        <sz val="10"/>
        <color rgb="FF333333"/>
        <rFont val="Noto Sans JP"/>
        <family val="0"/>
        <charset val="1"/>
      </rPr>
      <t xml:space="preserve">1</t>
    </r>
    <r>
      <rPr>
        <sz val="10"/>
        <color rgb="FF333333"/>
        <rFont val="Linux Libertine G"/>
        <family val="2"/>
      </rPr>
      <t xml:space="preserve">ページ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自己管理</t>
    </r>
  </si>
  <si>
    <r>
      <rPr>
        <sz val="10"/>
        <color rgb="FF333333"/>
        <rFont val="Linux Libertine G"/>
        <family val="2"/>
      </rPr>
      <t xml:space="preserve">税別概算。</t>
    </r>
    <r>
      <rPr>
        <sz val="10"/>
        <color rgb="FF333333"/>
        <rFont val="Noto Sans JP"/>
        <family val="0"/>
        <charset val="1"/>
      </rPr>
      <t xml:space="preserve">CMS</t>
    </r>
    <r>
      <rPr>
        <sz val="10"/>
        <color rgb="FF333333"/>
        <rFont val="Linux Libertine G"/>
        <family val="2"/>
      </rPr>
      <t xml:space="preserve">有料枠・オプションは別</t>
    </r>
  </si>
  <si>
    <r>
      <rPr>
        <sz val="10"/>
        <color rgb="FF333333"/>
        <rFont val="Noto Sans JP"/>
        <family val="0"/>
        <charset val="1"/>
      </rPr>
      <t xml:space="preserve">6</t>
    </r>
    <r>
      <rPr>
        <sz val="10"/>
        <color rgb="FF333333"/>
        <rFont val="Linux Libertine G"/>
        <family val="2"/>
      </rPr>
      <t xml:space="preserve">ページ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自己管理</t>
    </r>
  </si>
  <si>
    <r>
      <rPr>
        <sz val="10"/>
        <color rgb="FF333333"/>
        <rFont val="Noto Sans JP"/>
        <family val="0"/>
        <charset val="1"/>
      </rPr>
      <t xml:space="preserve">6</t>
    </r>
    <r>
      <rPr>
        <sz val="10"/>
        <color rgb="FF333333"/>
        <rFont val="Linux Libertine G"/>
        <family val="2"/>
      </rPr>
      <t xml:space="preserve">ページ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整える</t>
    </r>
  </si>
  <si>
    <r>
      <rPr>
        <sz val="10"/>
        <color rgb="FF333333"/>
        <rFont val="Noto Sans JP"/>
        <family val="0"/>
        <charset val="1"/>
      </rPr>
      <t xml:space="preserve">CMS/</t>
    </r>
    <r>
      <rPr>
        <sz val="10"/>
        <color rgb="FF333333"/>
        <rFont val="Linux Libertine G"/>
        <family val="2"/>
      </rPr>
      <t xml:space="preserve">自己管理</t>
    </r>
  </si>
  <si>
    <t xml:space="preserve">費目</t>
  </si>
  <si>
    <t xml:space="preserve">確認内容</t>
  </si>
  <si>
    <r>
      <rPr>
        <b val="true"/>
        <sz val="11"/>
        <color rgb="FFFFFFFF"/>
        <rFont val="Linux Libertine G"/>
        <family val="2"/>
      </rPr>
      <t xml:space="preserve">公式情報</t>
    </r>
    <r>
      <rPr>
        <b val="true"/>
        <sz val="11"/>
        <color rgb="FFFFFFFF"/>
        <rFont val="Noto Sans JP"/>
        <family val="0"/>
        <charset val="1"/>
      </rPr>
      <t xml:space="preserve">/</t>
    </r>
    <r>
      <rPr>
        <b val="true"/>
        <sz val="11"/>
        <color rgb="FFFFFFFF"/>
        <rFont val="Linux Libertine G"/>
        <family val="2"/>
      </rPr>
      <t xml:space="preserve">根拠</t>
    </r>
  </si>
  <si>
    <t xml:space="preserve">Vercel Pro</t>
  </si>
  <si>
    <r>
      <rPr>
        <sz val="10"/>
        <color rgb="FF333333"/>
        <rFont val="Noto Sans JP"/>
        <family val="0"/>
        <charset val="1"/>
      </rPr>
      <t xml:space="preserve">20</t>
    </r>
    <r>
      <rPr>
        <sz val="10"/>
        <color rgb="FF333333"/>
        <rFont val="Linux Libertine G"/>
        <family val="2"/>
      </rPr>
      <t xml:space="preserve">米ドル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月、追加席・従量・税に注意</t>
    </r>
  </si>
  <si>
    <t xml:space="preserve">顧客直接契約は顧客負担。自社共有分と重複計上しない</t>
  </si>
  <si>
    <t xml:space="preserve">https://vercel.com/pricing</t>
  </si>
  <si>
    <t xml:space="preserve">静的配信代替</t>
  </si>
  <si>
    <r>
      <rPr>
        <sz val="10"/>
        <color rgb="FF333333"/>
        <rFont val="Noto Sans JP"/>
        <family val="0"/>
        <charset val="1"/>
      </rPr>
      <t xml:space="preserve">Cloudflare</t>
    </r>
    <r>
      <rPr>
        <sz val="10"/>
        <color rgb="FF333333"/>
        <rFont val="Linux Libertine G"/>
        <family val="2"/>
      </rPr>
      <t xml:space="preserve">静的資産へのリクエストと保存は無料</t>
    </r>
  </si>
  <si>
    <r>
      <rPr>
        <sz val="10"/>
        <color rgb="FF333333"/>
        <rFont val="Linux Libertine G"/>
        <family val="2"/>
      </rPr>
      <t xml:space="preserve">移行未実施。</t>
    </r>
    <r>
      <rPr>
        <sz val="10"/>
        <color rgb="FF333333"/>
        <rFont val="Noto Sans JP"/>
        <family val="0"/>
        <charset val="1"/>
      </rPr>
      <t xml:space="preserve">DNS</t>
    </r>
    <r>
      <rPr>
        <sz val="10"/>
        <color rgb="FF333333"/>
        <rFont val="Linux Libertine G"/>
        <family val="2"/>
      </rPr>
      <t xml:space="preserve">・ヘッダー・ログ・復元・責任範囲を検証してから</t>
    </r>
  </si>
  <si>
    <t xml:space="preserve">https://developers.cloudflare.com/workers/static-assets/billing-and-limitations/</t>
  </si>
  <si>
    <t xml:space="preserve">microCMS</t>
  </si>
  <si>
    <r>
      <rPr>
        <sz val="10"/>
        <color rgb="FF333333"/>
        <rFont val="Noto Sans JP"/>
        <family val="0"/>
        <charset val="1"/>
      </rPr>
      <t xml:space="preserve">Hobby 0</t>
    </r>
    <r>
      <rPr>
        <sz val="10"/>
        <color rgb="FF333333"/>
        <rFont val="Linux Libertine G"/>
        <family val="2"/>
      </rPr>
      <t xml:space="preserve">円、</t>
    </r>
    <r>
      <rPr>
        <sz val="10"/>
        <color rgb="FF333333"/>
        <rFont val="Noto Sans JP"/>
        <family val="0"/>
        <charset val="1"/>
      </rPr>
      <t xml:space="preserve">Team 4900</t>
    </r>
    <r>
      <rPr>
        <sz val="10"/>
        <color rgb="FF333333"/>
        <rFont val="Linux Libertine G"/>
        <family val="2"/>
      </rPr>
      <t xml:space="preserve">円〜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月</t>
    </r>
  </si>
  <si>
    <r>
      <rPr>
        <sz val="10"/>
        <color rgb="FF333333"/>
        <rFont val="Linux Libertine G"/>
        <family val="2"/>
      </rPr>
      <t xml:space="preserve">追加メンバー・権限要件・従量・税の確認。</t>
    </r>
    <r>
      <rPr>
        <sz val="10"/>
        <color rgb="FF333333"/>
        <rFont val="Noto Sans JP"/>
        <family val="0"/>
        <charset val="1"/>
      </rPr>
      <t xml:space="preserve">CMS</t>
    </r>
    <r>
      <rPr>
        <sz val="10"/>
        <color rgb="FF333333"/>
        <rFont val="Linux Libertine G"/>
        <family val="2"/>
      </rPr>
      <t xml:space="preserve">受付開始とは別</t>
    </r>
  </si>
  <si>
    <t xml:space="preserve">https://microcms.io/pricing</t>
  </si>
  <si>
    <r>
      <rPr>
        <sz val="10"/>
        <color rgb="FF333333"/>
        <rFont val="Linux Libertine G"/>
        <family val="2"/>
      </rPr>
      <t xml:space="preserve">さくら </t>
    </r>
    <r>
      <rPr>
        <sz val="10"/>
        <color rgb="FF333333"/>
        <rFont val="Noto Sans JP"/>
        <family val="0"/>
        <charset val="1"/>
      </rPr>
      <t xml:space="preserve">.com</t>
    </r>
  </si>
  <si>
    <r>
      <rPr>
        <sz val="10"/>
        <color rgb="FF333333"/>
        <rFont val="Linux Libertine G"/>
        <family val="2"/>
      </rPr>
      <t xml:space="preserve">更新表示</t>
    </r>
    <r>
      <rPr>
        <sz val="10"/>
        <color rgb="FF333333"/>
        <rFont val="Noto Sans JP"/>
        <family val="0"/>
        <charset val="1"/>
      </rPr>
      <t xml:space="preserve">3437</t>
    </r>
    <r>
      <rPr>
        <sz val="10"/>
        <color rgb="FF333333"/>
        <rFont val="Linux Libertine G"/>
        <family val="2"/>
      </rPr>
      <t xml:space="preserve">円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年。請求時の税区分を確認</t>
    </r>
  </si>
  <si>
    <t xml:space="preserve">取得年の価格ではなく更新を基準にする</t>
  </si>
  <si>
    <t xml:space="preserve">https://domain.sakura.ad.jp/specification/</t>
  </si>
  <si>
    <r>
      <rPr>
        <sz val="10"/>
        <color rgb="FF333333"/>
        <rFont val="Linux Libertine G"/>
        <family val="2"/>
      </rPr>
      <t xml:space="preserve">ムームー </t>
    </r>
    <r>
      <rPr>
        <sz val="10"/>
        <color rgb="FF333333"/>
        <rFont val="Noto Sans JP"/>
        <family val="0"/>
        <charset val="1"/>
      </rPr>
      <t xml:space="preserve">.com</t>
    </r>
  </si>
  <si>
    <r>
      <rPr>
        <sz val="10"/>
        <color rgb="FF333333"/>
        <rFont val="Linux Libertine G"/>
        <family val="2"/>
      </rPr>
      <t xml:space="preserve">更新表示</t>
    </r>
    <r>
      <rPr>
        <sz val="10"/>
        <color rgb="FF333333"/>
        <rFont val="Noto Sans JP"/>
        <family val="0"/>
        <charset val="1"/>
      </rPr>
      <t xml:space="preserve">1728</t>
    </r>
    <r>
      <rPr>
        <sz val="10"/>
        <color rgb="FF333333"/>
        <rFont val="Linux Libertine G"/>
        <family val="2"/>
      </rPr>
      <t xml:space="preserve">円＋別途調整費。</t>
    </r>
    <r>
      <rPr>
        <sz val="10"/>
        <color rgb="FF333333"/>
        <rFont val="Noto Sans JP"/>
        <family val="0"/>
        <charset val="1"/>
      </rPr>
      <t xml:space="preserve">2026</t>
    </r>
    <r>
      <rPr>
        <sz val="10"/>
        <color rgb="FF333333"/>
        <rFont val="Linux Libertine G"/>
        <family val="2"/>
      </rPr>
      <t xml:space="preserve">年</t>
    </r>
    <r>
      <rPr>
        <sz val="10"/>
        <color rgb="FF333333"/>
        <rFont val="Noto Sans JP"/>
        <family val="0"/>
        <charset val="1"/>
      </rPr>
      <t xml:space="preserve">9</t>
    </r>
    <r>
      <rPr>
        <sz val="10"/>
        <color rgb="FF333333"/>
        <rFont val="Linux Libertine G"/>
        <family val="2"/>
      </rPr>
      <t xml:space="preserve">月</t>
    </r>
    <r>
      <rPr>
        <sz val="10"/>
        <color rgb="FF333333"/>
        <rFont val="Noto Sans JP"/>
        <family val="0"/>
        <charset val="1"/>
      </rPr>
      <t xml:space="preserve">26.25%</t>
    </r>
  </si>
  <si>
    <t xml:space="preserve">表示切替による二重加算に注意。請求画面で確定</t>
  </si>
  <si>
    <t xml:space="preserve">https://muumuu-domain.com/domain/price</t>
  </si>
  <si>
    <r>
      <rPr>
        <sz val="10"/>
        <color rgb="FF333333"/>
        <rFont val="Noto Sans JP"/>
        <family val="0"/>
        <charset val="1"/>
      </rPr>
      <t xml:space="preserve">AI/</t>
    </r>
    <r>
      <rPr>
        <sz val="10"/>
        <color rgb="FF333333"/>
        <rFont val="Linux Libertine G"/>
        <family val="2"/>
      </rPr>
      <t xml:space="preserve">開発ツール</t>
    </r>
  </si>
  <si>
    <t xml:space="preserve">実請求未確認</t>
  </si>
  <si>
    <r>
      <rPr>
        <sz val="10"/>
        <color rgb="FF333333"/>
        <rFont val="Linux Libertine G"/>
        <family val="2"/>
      </rPr>
      <t xml:space="preserve">固定費</t>
    </r>
    <r>
      <rPr>
        <sz val="10"/>
        <color rgb="FF333333"/>
        <rFont val="Noto Sans JP"/>
        <family val="0"/>
        <charset val="1"/>
      </rPr>
      <t xml:space="preserve">5</t>
    </r>
    <r>
      <rPr>
        <sz val="10"/>
        <color rgb="FF333333"/>
        <rFont val="Linux Libertine G"/>
        <family val="2"/>
      </rPr>
      <t xml:space="preserve">万円へ明細積算。案件実費と二重計上しない</t>
    </r>
  </si>
  <si>
    <t xml:space="preserve">実際の請求書が必要</t>
  </si>
  <si>
    <r>
      <rPr>
        <sz val="10"/>
        <color rgb="FF333333"/>
        <rFont val="Linux Libertine G"/>
        <family val="2"/>
      </rPr>
      <t xml:space="preserve">メール・フォーム・</t>
    </r>
    <r>
      <rPr>
        <sz val="10"/>
        <color rgb="FF333333"/>
        <rFont val="Noto Sans JP"/>
        <family val="0"/>
        <charset val="1"/>
      </rPr>
      <t xml:space="preserve">SMS</t>
    </r>
  </si>
  <si>
    <r>
      <rPr>
        <sz val="10"/>
        <color rgb="FF333333"/>
        <rFont val="Linux Libertine G"/>
        <family val="2"/>
      </rPr>
      <t xml:space="preserve">実請求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選定未確認</t>
    </r>
  </si>
  <si>
    <t xml:space="preserve">アドレス数・保存・送信数・通知先で見積</t>
  </si>
  <si>
    <t xml:space="preserve">顧客別構成が必要</t>
  </si>
  <si>
    <r>
      <rPr>
        <sz val="10"/>
        <color rgb="FF333333"/>
        <rFont val="Linux Libertine G"/>
        <family val="2"/>
      </rPr>
      <t xml:space="preserve">外部バックアップ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監視</t>
    </r>
  </si>
  <si>
    <t xml:space="preserve">独立保管と通知の費用未確定</t>
  </si>
  <si>
    <r>
      <rPr>
        <sz val="10"/>
        <color rgb="FF333333"/>
        <rFont val="Linux Libertine G"/>
        <family val="2"/>
      </rPr>
      <t xml:space="preserve">保守の</t>
    </r>
    <r>
      <rPr>
        <sz val="10"/>
        <color rgb="FF333333"/>
        <rFont val="Noto Sans JP"/>
        <family val="0"/>
        <charset val="1"/>
      </rPr>
      <t xml:space="preserve">300</t>
    </r>
    <r>
      <rPr>
        <sz val="10"/>
        <color rgb="FF333333"/>
        <rFont val="Linux Libertine G"/>
        <family val="2"/>
      </rPr>
      <t xml:space="preserve">円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社と固定費への配賦を決める</t>
    </r>
  </si>
  <si>
    <t xml:space="preserve">docs/operations.md</t>
  </si>
  <si>
    <r>
      <rPr>
        <sz val="10"/>
        <color rgb="FF333333"/>
        <rFont val="Linux Libertine G"/>
        <family val="2"/>
      </rPr>
      <t xml:space="preserve">写真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翻訳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移行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法務確認</t>
    </r>
  </si>
  <si>
    <t xml:space="preserve">単価・範囲未確認</t>
  </si>
  <si>
    <t xml:space="preserve">許諾・再撮影・移動・修正・検証を含め積算</t>
  </si>
  <si>
    <t xml:space="preserve">個別見積</t>
  </si>
  <si>
    <r>
      <rPr>
        <sz val="10"/>
        <color rgb="FF333333"/>
        <rFont val="Linux Libertine G"/>
        <family val="2"/>
      </rPr>
      <t xml:space="preserve">決済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返金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未回収</t>
    </r>
  </si>
  <si>
    <r>
      <rPr>
        <sz val="10"/>
        <color rgb="FF333333"/>
        <rFont val="Noto Sans JP"/>
        <family val="0"/>
        <charset val="1"/>
      </rPr>
      <t xml:space="preserve">3%</t>
    </r>
    <r>
      <rPr>
        <sz val="10"/>
        <color rgb="FF333333"/>
        <rFont val="Linux Libertine G"/>
        <family val="2"/>
      </rPr>
      <t xml:space="preserve">は保守的な仮定</t>
    </r>
  </si>
  <si>
    <t xml:space="preserve">振込・カード等の実際の手段別に置換</t>
  </si>
  <si>
    <t xml:space="preserve">proposal.json</t>
  </si>
  <si>
    <r>
      <rPr>
        <sz val="10"/>
        <color rgb="FF333333"/>
        <rFont val="Linux Libertine G"/>
        <family val="2"/>
      </rPr>
      <t xml:space="preserve">補助金</t>
    </r>
    <r>
      <rPr>
        <sz val="10"/>
        <color rgb="FF333333"/>
        <rFont val="Noto Sans JP"/>
        <family val="0"/>
        <charset val="1"/>
      </rPr>
      <t xml:space="preserve">/</t>
    </r>
    <r>
      <rPr>
        <sz val="10"/>
        <color rgb="FF333333"/>
        <rFont val="Linux Libertine G"/>
        <family val="2"/>
      </rPr>
      <t xml:space="preserve">掲載料削減</t>
    </r>
  </si>
  <si>
    <t xml:space="preserve">売価値引きの確定財源ではない</t>
  </si>
  <si>
    <t xml:space="preserve">未採択分・未確定削減額は基準収支から除く</t>
  </si>
  <si>
    <t xml:space="preserve">https://r6.jizokukahojokin.info/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</si>
</sst>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(#,##0.00\);\-"/>
    <numFmt numFmtId="166" formatCode="0.0%"/>
  </numFmts>
  <fonts count="10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Linux Libertine G"/>
      <family val="2"/>
    </font>
    <font>
      <sz val="10"/>
      <color rgb="FF333333"/>
      <name val="Linux Libertine G"/>
      <family val="2"/>
    </font>
    <font>
      <sz val="10"/>
      <color rgb="FF0000FF"/>
      <name val="Noto Sans JP"/>
      <family val="0"/>
      <charset val="1"/>
    </font>
    <font>
      <sz val="10"/>
      <color rgb="FF333333"/>
      <name val="Noto Sans JP"/>
      <family val="0"/>
      <charset val="1"/>
    </font>
    <font>
      <sz val="10"/>
      <color rgb="FF000000"/>
      <name val="Noto Sans JP"/>
      <family val="0"/>
      <charset val="1"/>
    </font>
    <font>
      <b val="true"/>
      <sz val="11"/>
      <color rgb="FFFFFFFF"/>
      <name val="Noto Sans JP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43746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437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4374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2" min="1" style="0" width="26.12"/>
    <col collapsed="false" customWidth="true" hidden="false" outlineLevel="0" max="3" min="3" style="0" width="59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48" hidden="false" customHeight="true" outlineLevel="0" collapsed="false">
      <c r="A2" s="2" t="s">
        <v>3</v>
      </c>
      <c r="B2" s="3" t="n">
        <v>5000</v>
      </c>
      <c r="C2" s="2" t="s">
        <v>4</v>
      </c>
    </row>
    <row r="3" customFormat="false" ht="48" hidden="false" customHeight="true" outlineLevel="0" collapsed="false">
      <c r="A3" s="2" t="s">
        <v>5</v>
      </c>
      <c r="B3" s="4" t="n">
        <v>0.03</v>
      </c>
      <c r="C3" s="2" t="s">
        <v>6</v>
      </c>
    </row>
    <row r="4" customFormat="false" ht="48" hidden="false" customHeight="true" outlineLevel="0" collapsed="false">
      <c r="A4" s="2" t="s">
        <v>7</v>
      </c>
      <c r="B4" s="4" t="n">
        <v>0.5</v>
      </c>
      <c r="C4" s="2" t="s">
        <v>8</v>
      </c>
    </row>
    <row r="5" customFormat="false" ht="48" hidden="false" customHeight="true" outlineLevel="0" collapsed="false">
      <c r="A5" s="2" t="s">
        <v>9</v>
      </c>
      <c r="B5" s="3" t="n">
        <v>140</v>
      </c>
      <c r="C5" s="2" t="s">
        <v>10</v>
      </c>
    </row>
    <row r="6" customFormat="false" ht="48" hidden="false" customHeight="true" outlineLevel="0" collapsed="false">
      <c r="A6" s="2" t="s">
        <v>11</v>
      </c>
      <c r="B6" s="3" t="n">
        <v>28</v>
      </c>
      <c r="C6" s="2" t="s">
        <v>12</v>
      </c>
    </row>
    <row r="7" customFormat="false" ht="48" hidden="false" customHeight="true" outlineLevel="0" collapsed="false">
      <c r="A7" s="2" t="s">
        <v>13</v>
      </c>
      <c r="B7" s="3" t="n">
        <v>28</v>
      </c>
      <c r="C7" s="2" t="s">
        <v>12</v>
      </c>
    </row>
    <row r="8" customFormat="false" ht="48" hidden="false" customHeight="true" outlineLevel="0" collapsed="false">
      <c r="A8" s="2" t="s">
        <v>14</v>
      </c>
      <c r="B8" s="3" t="n">
        <v>50000</v>
      </c>
      <c r="C8" s="2" t="s">
        <v>15</v>
      </c>
    </row>
    <row r="9" customFormat="false" ht="48" hidden="false" customHeight="true" outlineLevel="0" collapsed="false">
      <c r="A9" s="2" t="s">
        <v>16</v>
      </c>
      <c r="B9" s="3" t="n">
        <v>1.25</v>
      </c>
      <c r="C9" s="5" t="s">
        <v>17</v>
      </c>
    </row>
    <row r="10" customFormat="false" ht="48" hidden="false" customHeight="true" outlineLevel="0" collapsed="false">
      <c r="A10" s="2" t="s">
        <v>18</v>
      </c>
      <c r="B10" s="3" t="n">
        <v>0.5</v>
      </c>
      <c r="C10" s="5" t="s">
        <v>19</v>
      </c>
    </row>
    <row r="11" customFormat="false" ht="48" hidden="false" customHeight="true" outlineLevel="0" collapsed="false">
      <c r="A11" s="2" t="s">
        <v>20</v>
      </c>
      <c r="B11" s="3" t="n">
        <v>3500</v>
      </c>
      <c r="C11" s="2" t="s">
        <v>21</v>
      </c>
    </row>
    <row r="12" customFormat="false" ht="48" hidden="false" customHeight="true" outlineLevel="0" collapsed="false">
      <c r="A12" s="2" t="s">
        <v>22</v>
      </c>
      <c r="B12" s="3" t="n">
        <v>36</v>
      </c>
      <c r="C12" s="2" t="s">
        <v>23</v>
      </c>
    </row>
    <row r="13" customFormat="false" ht="48" hidden="false" customHeight="true" outlineLevel="0" collapsed="false">
      <c r="A13" s="2" t="s">
        <v>24</v>
      </c>
      <c r="B13" s="6" t="n">
        <f aca="false">(B5-B6-B7)/B9</f>
        <v>67.2</v>
      </c>
      <c r="C13" s="5" t="s">
        <v>25</v>
      </c>
    </row>
    <row r="14" customFormat="false" ht="48" hidden="false" customHeight="true" outlineLevel="0" collapsed="false">
      <c r="A14" s="2" t="s">
        <v>26</v>
      </c>
      <c r="B14" s="2" t="s">
        <v>27</v>
      </c>
      <c r="C14" s="2" t="s">
        <v>28</v>
      </c>
    </row>
    <row r="15" customFormat="false" ht="48" hidden="false" customHeight="true" outlineLevel="0" collapsed="false">
      <c r="A15" s="2" t="s">
        <v>29</v>
      </c>
      <c r="B15" s="2" t="s">
        <v>30</v>
      </c>
      <c r="C15" s="2" t="s">
        <v>31</v>
      </c>
    </row>
  </sheetData>
  <autoFilter ref="A1:C1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2" min="1" style="0" width="26.12"/>
    <col collapsed="false" customWidth="true" hidden="false" outlineLevel="0" max="11" min="3" style="0" width="22.86"/>
    <col collapsed="false" customWidth="true" hidden="false" outlineLevel="0" max="12" min="12" style="0" width="59.86"/>
  </cols>
  <sheetData>
    <row r="1" customFormat="false" ht="15" hidden="false" customHeight="false" outlineLevel="0" collapsed="false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7" t="s">
        <v>38</v>
      </c>
      <c r="H1" s="7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customFormat="false" ht="48" hidden="false" customHeight="true" outlineLevel="0" collapsed="false">
      <c r="A2" s="2" t="s">
        <v>44</v>
      </c>
      <c r="B2" s="2" t="s">
        <v>45</v>
      </c>
      <c r="C2" s="3" t="n">
        <v>79800</v>
      </c>
      <c r="D2" s="3" t="n">
        <v>5.5</v>
      </c>
      <c r="E2" s="3" t="n">
        <v>8000</v>
      </c>
      <c r="F2" s="8" t="n">
        <f aca="false">IF(C2=0,0,(C2*(1-前提!$B$3)-D2*前提!$B$2-E2)/C2)</f>
        <v>0.525137844611529</v>
      </c>
      <c r="G2" s="6" t="n">
        <f aca="false">(C2*(1-前提!$B$3-前提!$B$4)-E2)/前提!$B$2</f>
        <v>5.9012</v>
      </c>
      <c r="H2" s="6" t="n">
        <f aca="false">ROUNDUP((D2*前提!$B$9*前提!$B$2+E2)/(1-前提!$B$3-前提!$B$4),0)</f>
        <v>90160</v>
      </c>
      <c r="I2" s="3" t="n">
        <v>99800</v>
      </c>
      <c r="J2" s="3" t="n">
        <v>6.875</v>
      </c>
      <c r="K2" s="8" t="n">
        <f aca="false">IF(I2=0,0,(I2*(1-前提!$B$3)-J2*前提!$B$2-E2)/I2)</f>
        <v>0.545400801603206</v>
      </c>
      <c r="L2" s="5" t="s">
        <v>46</v>
      </c>
    </row>
    <row r="3" customFormat="false" ht="48" hidden="false" customHeight="true" outlineLevel="0" collapsed="false">
      <c r="A3" s="2" t="s">
        <v>47</v>
      </c>
      <c r="B3" s="2" t="s">
        <v>45</v>
      </c>
      <c r="C3" s="3" t="n">
        <v>198000</v>
      </c>
      <c r="D3" s="3" t="n">
        <v>15</v>
      </c>
      <c r="E3" s="3" t="n">
        <v>15000</v>
      </c>
      <c r="F3" s="8" t="n">
        <f aca="false">IF(C3=0,0,(C3*(1-前提!$B$3)-D3*前提!$B$2-E3)/C3)</f>
        <v>0.515454545454546</v>
      </c>
      <c r="G3" s="6" t="n">
        <f aca="false">(C3*(1-前提!$B$3-前提!$B$4)-E3)/前提!$B$2</f>
        <v>15.612</v>
      </c>
      <c r="H3" s="6" t="n">
        <f aca="false">ROUNDUP((D3*前提!$B$9*前提!$B$2+E3)/(1-前提!$B$3-前提!$B$4),0)</f>
        <v>231383</v>
      </c>
      <c r="I3" s="3" t="n">
        <v>248000</v>
      </c>
      <c r="J3" s="3" t="n">
        <v>18.75</v>
      </c>
      <c r="K3" s="8" t="n">
        <f aca="false">IF(I3=0,0,(I3*(1-前提!$B$3)-J3*前提!$B$2-E3)/I3)</f>
        <v>0.531491935483871</v>
      </c>
      <c r="L3" s="5" t="s">
        <v>46</v>
      </c>
    </row>
    <row r="4" customFormat="false" ht="48" hidden="false" customHeight="true" outlineLevel="0" collapsed="false">
      <c r="A4" s="2" t="s">
        <v>48</v>
      </c>
      <c r="B4" s="2" t="s">
        <v>49</v>
      </c>
      <c r="C4" s="3" t="n">
        <v>398000</v>
      </c>
      <c r="D4" s="3" t="n">
        <v>26</v>
      </c>
      <c r="E4" s="3" t="n">
        <v>30000</v>
      </c>
      <c r="F4" s="8" t="n">
        <f aca="false">IF(C4=0,0,(C4*(1-前提!$B$3)-D4*前提!$B$2-E4)/C4)</f>
        <v>0.567989949748744</v>
      </c>
      <c r="G4" s="6" t="n">
        <f aca="false">(C4*(1-前提!$B$3-前提!$B$4)-E4)/前提!$B$2</f>
        <v>31.412</v>
      </c>
      <c r="H4" s="6" t="n">
        <f aca="false">ROUNDUP((D4*前提!$B$9*前提!$B$2+E4)/(1-前提!$B$3-前提!$B$4),0)</f>
        <v>409575</v>
      </c>
      <c r="I4" s="3" t="n">
        <v>448000</v>
      </c>
      <c r="J4" s="3" t="n">
        <v>32.5</v>
      </c>
      <c r="K4" s="8" t="n">
        <f aca="false">IF(I4=0,0,(I4*(1-前提!$B$3)-J4*前提!$B$2-E4)/I4)</f>
        <v>0.5403125</v>
      </c>
      <c r="L4" s="5" t="s">
        <v>46</v>
      </c>
    </row>
    <row r="5" customFormat="false" ht="48" hidden="false" customHeight="true" outlineLevel="0" collapsed="false">
      <c r="A5" s="2" t="s">
        <v>50</v>
      </c>
      <c r="B5" s="2" t="s">
        <v>45</v>
      </c>
      <c r="C5" s="3" t="n">
        <v>0</v>
      </c>
      <c r="D5" s="3" t="n">
        <v>0</v>
      </c>
      <c r="E5" s="3" t="n">
        <v>0</v>
      </c>
      <c r="F5" s="8" t="n">
        <f aca="false">IF(C5=0,0,(C5*(1-前提!$B$3)-D5*前提!$B$2-E5)/C5)</f>
        <v>0</v>
      </c>
      <c r="G5" s="6" t="n">
        <f aca="false">(C5*(1-前提!$B$3-前提!$B$4)-E5)/前提!$B$2</f>
        <v>0</v>
      </c>
      <c r="H5" s="6" t="n">
        <f aca="false">ROUNDUP((D5*前提!$B$9*前提!$B$2+E5)/(1-前提!$B$3-前提!$B$4),0)</f>
        <v>0</v>
      </c>
      <c r="I5" s="3" t="n">
        <v>0</v>
      </c>
      <c r="J5" s="3" t="n">
        <v>0</v>
      </c>
      <c r="K5" s="8" t="n">
        <f aca="false">IF(I5=0,0,(I5*(1-前提!$B$3)-J5*前提!$B$2-E5)/I5)</f>
        <v>0</v>
      </c>
      <c r="L5" s="5" t="s">
        <v>46</v>
      </c>
    </row>
    <row r="6" customFormat="false" ht="48" hidden="false" customHeight="true" outlineLevel="0" collapsed="false">
      <c r="A6" s="2" t="s">
        <v>51</v>
      </c>
      <c r="B6" s="2" t="s">
        <v>52</v>
      </c>
      <c r="C6" s="3" t="n">
        <v>3900</v>
      </c>
      <c r="D6" s="3" t="n">
        <v>0.3</v>
      </c>
      <c r="E6" s="3" t="n">
        <v>300</v>
      </c>
      <c r="F6" s="8" t="n">
        <f aca="false">IF(C6=0,0,(C6*(1-前提!$B$3)-D6*前提!$B$2-E6)/C6)</f>
        <v>0.508461538461538</v>
      </c>
      <c r="G6" s="6" t="n">
        <f aca="false">(C6*(1-前提!$B$3-前提!$B$4)-E6)/前提!$B$2</f>
        <v>0.3066</v>
      </c>
      <c r="H6" s="6" t="n">
        <f aca="false">ROUNDUP((D6*前提!$B$9*前提!$B$2+E6)/(1-前提!$B$3-前提!$B$4),0)</f>
        <v>4628</v>
      </c>
      <c r="I6" s="3" t="n">
        <v>6900</v>
      </c>
      <c r="J6" s="3" t="n">
        <v>0.5</v>
      </c>
      <c r="K6" s="8" t="n">
        <f aca="false">IF(I6=0,0,(I6*(1-前提!$B$3)-J6*前提!$B$2-E6)/I6)</f>
        <v>0.564202898550725</v>
      </c>
      <c r="L6" s="5" t="s">
        <v>46</v>
      </c>
    </row>
    <row r="7" customFormat="false" ht="48" hidden="false" customHeight="true" outlineLevel="0" collapsed="false">
      <c r="A7" s="2" t="s">
        <v>53</v>
      </c>
      <c r="B7" s="2" t="s">
        <v>52</v>
      </c>
      <c r="C7" s="3" t="n">
        <v>9800</v>
      </c>
      <c r="D7" s="3" t="n">
        <v>0.75</v>
      </c>
      <c r="E7" s="3" t="n">
        <v>400</v>
      </c>
      <c r="F7" s="8" t="n">
        <f aca="false">IF(C7=0,0,(C7*(1-前提!$B$3)-D7*前提!$B$2-E7)/C7)</f>
        <v>0.546530612244898</v>
      </c>
      <c r="G7" s="6" t="n">
        <f aca="false">(C7*(1-前提!$B$3-前提!$B$4)-E7)/前提!$B$2</f>
        <v>0.8412</v>
      </c>
      <c r="H7" s="6" t="n">
        <f aca="false">ROUNDUP((D7*前提!$B$9*前提!$B$2+E7)/(1-前提!$B$3-前提!$B$4),0)</f>
        <v>10825</v>
      </c>
      <c r="I7" s="3" t="n">
        <v>12800</v>
      </c>
      <c r="J7" s="3" t="n">
        <v>1</v>
      </c>
      <c r="K7" s="8" t="n">
        <f aca="false">IF(I7=0,0,(I7*(1-前提!$B$3)-J7*前提!$B$2-E7)/I7)</f>
        <v>0.548125</v>
      </c>
      <c r="L7" s="5" t="s">
        <v>46</v>
      </c>
    </row>
    <row r="8" customFormat="false" ht="48" hidden="false" customHeight="true" outlineLevel="0" collapsed="false">
      <c r="A8" s="2" t="s">
        <v>54</v>
      </c>
      <c r="B8" s="2" t="s">
        <v>52</v>
      </c>
      <c r="C8" s="3" t="n">
        <v>29800</v>
      </c>
      <c r="D8" s="3" t="n">
        <v>2.25</v>
      </c>
      <c r="E8" s="3" t="n">
        <v>700</v>
      </c>
      <c r="F8" s="8" t="n">
        <f aca="false">IF(C8=0,0,(C8*(1-前提!$B$3)-D8*前提!$B$2-E8)/C8)</f>
        <v>0.568993288590604</v>
      </c>
      <c r="G8" s="6" t="n">
        <f aca="false">(C8*(1-前提!$B$3-前提!$B$4)-E8)/前提!$B$2</f>
        <v>2.6612</v>
      </c>
      <c r="H8" s="6" t="n">
        <f aca="false">ROUNDUP((D8*前提!$B$9*前提!$B$2+E8)/(1-前提!$B$3-前提!$B$4),0)</f>
        <v>31410</v>
      </c>
      <c r="I8" s="3" t="n">
        <v>34800</v>
      </c>
      <c r="J8" s="3" t="n">
        <v>2.8125</v>
      </c>
      <c r="K8" s="8" t="n">
        <f aca="false">IF(I8=0,0,(I8*(1-前提!$B$3)-J8*前提!$B$2-E8)/I8)</f>
        <v>0.545790229885057</v>
      </c>
      <c r="L8" s="5" t="s">
        <v>46</v>
      </c>
    </row>
  </sheetData>
  <autoFilter ref="A1:L8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2" min="1" style="0" width="26.12"/>
    <col collapsed="false" customWidth="true" hidden="false" outlineLevel="0" max="5" min="3" style="0" width="22.86"/>
    <col collapsed="false" customWidth="true" hidden="false" outlineLevel="0" max="6" min="6" style="0" width="59.86"/>
  </cols>
  <sheetData>
    <row r="1" customFormat="false" ht="15" hidden="false" customHeight="false" outlineLevel="0" collapsed="false">
      <c r="A1" s="1" t="s">
        <v>32</v>
      </c>
      <c r="B1" s="1" t="s">
        <v>55</v>
      </c>
      <c r="C1" s="1" t="s">
        <v>56</v>
      </c>
      <c r="D1" s="7" t="s">
        <v>57</v>
      </c>
      <c r="E1" s="1" t="s">
        <v>58</v>
      </c>
      <c r="F1" s="1" t="s">
        <v>59</v>
      </c>
    </row>
    <row r="2" customFormat="false" ht="48" hidden="false" customHeight="true" outlineLevel="0" collapsed="false">
      <c r="A2" s="2" t="s">
        <v>60</v>
      </c>
      <c r="B2" s="3" t="n">
        <v>33000</v>
      </c>
      <c r="C2" s="3" t="n">
        <v>0</v>
      </c>
      <c r="D2" s="6" t="n">
        <f aca="false">(B2*(1-前提!$B$3-前提!$B$4)-C2)/前提!$B$2</f>
        <v>3.102</v>
      </c>
      <c r="E2" s="5" t="s">
        <v>61</v>
      </c>
      <c r="F2" s="5" t="s">
        <v>62</v>
      </c>
    </row>
    <row r="3" customFormat="false" ht="48" hidden="false" customHeight="true" outlineLevel="0" collapsed="false">
      <c r="A3" s="2" t="s">
        <v>63</v>
      </c>
      <c r="B3" s="3" t="n">
        <v>55000</v>
      </c>
      <c r="C3" s="3" t="n">
        <v>0</v>
      </c>
      <c r="D3" s="6" t="n">
        <f aca="false">(B3*(1-前提!$B$3-前提!$B$4)-C3)/前提!$B$2</f>
        <v>5.17</v>
      </c>
      <c r="E3" s="2" t="s">
        <v>64</v>
      </c>
      <c r="F3" s="5" t="s">
        <v>62</v>
      </c>
    </row>
    <row r="4" customFormat="false" ht="48" hidden="false" customHeight="true" outlineLevel="0" collapsed="false">
      <c r="A4" s="5" t="s">
        <v>65</v>
      </c>
      <c r="B4" s="3" t="n">
        <v>88000</v>
      </c>
      <c r="C4" s="3" t="n">
        <v>0</v>
      </c>
      <c r="D4" s="6" t="n">
        <f aca="false">(B4*(1-前提!$B$3-前提!$B$4)-C4)/前提!$B$2</f>
        <v>8.272</v>
      </c>
      <c r="E4" s="2" t="s">
        <v>66</v>
      </c>
      <c r="F4" s="5" t="s">
        <v>62</v>
      </c>
    </row>
    <row r="5" customFormat="false" ht="48" hidden="false" customHeight="true" outlineLevel="0" collapsed="false">
      <c r="A5" s="2" t="s">
        <v>67</v>
      </c>
      <c r="B5" s="3" t="n">
        <v>88000</v>
      </c>
      <c r="C5" s="3" t="n">
        <v>0</v>
      </c>
      <c r="D5" s="6" t="n">
        <f aca="false">(B5*(1-前提!$B$3-前提!$B$4)-C5)/前提!$B$2</f>
        <v>8.272</v>
      </c>
      <c r="E5" s="2" t="s">
        <v>68</v>
      </c>
      <c r="F5" s="5" t="s">
        <v>62</v>
      </c>
    </row>
    <row r="6" customFormat="false" ht="48" hidden="false" customHeight="true" outlineLevel="0" collapsed="false">
      <c r="A6" s="2" t="s">
        <v>69</v>
      </c>
      <c r="B6" s="3" t="n">
        <v>55000</v>
      </c>
      <c r="C6" s="3" t="n">
        <v>0</v>
      </c>
      <c r="D6" s="6" t="n">
        <f aca="false">(B6*(1-前提!$B$3-前提!$B$4)-C6)/前提!$B$2</f>
        <v>5.17</v>
      </c>
      <c r="E6" s="2" t="s">
        <v>70</v>
      </c>
      <c r="F6" s="5" t="s">
        <v>62</v>
      </c>
    </row>
    <row r="7" customFormat="false" ht="48" hidden="false" customHeight="true" outlineLevel="0" collapsed="false">
      <c r="A7" s="5" t="s">
        <v>71</v>
      </c>
      <c r="B7" s="3" t="n">
        <v>198000</v>
      </c>
      <c r="C7" s="3" t="n">
        <v>0</v>
      </c>
      <c r="D7" s="6" t="n">
        <f aca="false">(B7*(1-前提!$B$3-前提!$B$4)-C7)/前提!$B$2</f>
        <v>18.612</v>
      </c>
      <c r="E7" s="5" t="s">
        <v>72</v>
      </c>
      <c r="F7" s="5" t="s">
        <v>62</v>
      </c>
    </row>
    <row r="8" customFormat="false" ht="48" hidden="false" customHeight="true" outlineLevel="0" collapsed="false">
      <c r="A8" s="2" t="s">
        <v>73</v>
      </c>
      <c r="B8" s="3" t="n">
        <v>55000</v>
      </c>
      <c r="C8" s="3" t="n">
        <v>0</v>
      </c>
      <c r="D8" s="6" t="n">
        <f aca="false">(B8*(1-前提!$B$3-前提!$B$4)-C8)/前提!$B$2</f>
        <v>5.17</v>
      </c>
      <c r="E8" s="2" t="s">
        <v>74</v>
      </c>
      <c r="F8" s="5" t="s">
        <v>62</v>
      </c>
    </row>
    <row r="9" customFormat="false" ht="48" hidden="false" customHeight="true" outlineLevel="0" collapsed="false">
      <c r="A9" s="2" t="s">
        <v>75</v>
      </c>
      <c r="B9" s="3" t="n">
        <v>165000</v>
      </c>
      <c r="C9" s="3" t="n">
        <v>0</v>
      </c>
      <c r="D9" s="6" t="n">
        <f aca="false">(B9*(1-前提!$B$3-前提!$B$4)-C9)/前提!$B$2</f>
        <v>15.51</v>
      </c>
      <c r="E9" s="2" t="s">
        <v>76</v>
      </c>
      <c r="F9" s="5" t="s">
        <v>62</v>
      </c>
    </row>
    <row r="10" customFormat="false" ht="48" hidden="false" customHeight="true" outlineLevel="0" collapsed="false">
      <c r="A10" s="2" t="s">
        <v>77</v>
      </c>
      <c r="B10" s="3" t="n">
        <v>598000</v>
      </c>
      <c r="C10" s="3" t="n">
        <v>0</v>
      </c>
      <c r="D10" s="6" t="n">
        <f aca="false">(B10*(1-前提!$B$3-前提!$B$4)-C10)/前提!$B$2</f>
        <v>56.212</v>
      </c>
      <c r="E10" s="2" t="s">
        <v>78</v>
      </c>
      <c r="F10" s="5" t="s">
        <v>62</v>
      </c>
    </row>
    <row r="11" customFormat="false" ht="48" hidden="false" customHeight="true" outlineLevel="0" collapsed="false">
      <c r="A11" s="2" t="s">
        <v>79</v>
      </c>
      <c r="B11" s="3" t="n">
        <v>898000</v>
      </c>
      <c r="C11" s="3" t="n">
        <v>0</v>
      </c>
      <c r="D11" s="6" t="n">
        <f aca="false">(B11*(1-前提!$B$3-前提!$B$4)-C11)/前提!$B$2</f>
        <v>84.412</v>
      </c>
      <c r="E11" s="2" t="s">
        <v>80</v>
      </c>
      <c r="F11" s="5" t="s">
        <v>62</v>
      </c>
    </row>
    <row r="12" customFormat="false" ht="48" hidden="false" customHeight="true" outlineLevel="0" collapsed="false">
      <c r="A12" s="2" t="s">
        <v>81</v>
      </c>
      <c r="B12" s="3" t="n">
        <v>55000</v>
      </c>
      <c r="C12" s="3" t="n">
        <v>0</v>
      </c>
      <c r="D12" s="6" t="n">
        <f aca="false">(B12*(1-前提!$B$3-前提!$B$4)-C12)/前提!$B$2</f>
        <v>5.17</v>
      </c>
      <c r="E12" s="2" t="s">
        <v>82</v>
      </c>
      <c r="F12" s="5" t="s">
        <v>62</v>
      </c>
    </row>
    <row r="13" customFormat="false" ht="48" hidden="false" customHeight="true" outlineLevel="0" collapsed="false">
      <c r="A13" s="2" t="s">
        <v>83</v>
      </c>
      <c r="B13" s="3" t="n">
        <v>29800</v>
      </c>
      <c r="C13" s="3" t="n">
        <v>0</v>
      </c>
      <c r="D13" s="6" t="n">
        <f aca="false">(B13*(1-前提!$B$3-前提!$B$4)-C13)/前提!$B$2</f>
        <v>2.8012</v>
      </c>
      <c r="E13" s="2" t="s">
        <v>84</v>
      </c>
      <c r="F13" s="5" t="s">
        <v>62</v>
      </c>
    </row>
  </sheetData>
  <autoFilter ref="A1:F1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2" min="1" style="0" width="26.12"/>
    <col collapsed="false" customWidth="true" hidden="false" outlineLevel="0" max="13" min="3" style="0" width="22.86"/>
    <col collapsed="false" customWidth="true" hidden="false" outlineLevel="0" max="14" min="14" style="0" width="59.86"/>
  </cols>
  <sheetData>
    <row r="1" customFormat="false" ht="15" hidden="false" customHeight="false" outlineLevel="0" collapsed="false">
      <c r="A1" s="1" t="s">
        <v>85</v>
      </c>
      <c r="B1" s="1" t="s">
        <v>86</v>
      </c>
      <c r="C1" s="7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7" t="s">
        <v>96</v>
      </c>
      <c r="M1" s="7" t="s">
        <v>97</v>
      </c>
      <c r="N1" s="1" t="s">
        <v>98</v>
      </c>
    </row>
    <row r="2" customFormat="false" ht="48" hidden="false" customHeight="true" outlineLevel="0" collapsed="false">
      <c r="A2" s="2" t="s">
        <v>99</v>
      </c>
      <c r="B2" s="3" t="n">
        <v>1</v>
      </c>
      <c r="C2" s="3" t="n">
        <v>1</v>
      </c>
      <c r="D2" s="3" t="n">
        <v>10</v>
      </c>
      <c r="E2" s="3" t="n">
        <v>16</v>
      </c>
      <c r="F2" s="3" t="n">
        <v>6</v>
      </c>
      <c r="G2" s="2" t="s">
        <v>45</v>
      </c>
      <c r="H2" s="6" t="n">
        <f aca="false">B2*基本料金!C3+C2*基本料金!C4+D2*基本料金!C6+E2*基本料金!C7+F2*基本料金!C8</f>
        <v>970600</v>
      </c>
      <c r="I2" s="6" t="n">
        <f aca="false">B2*基本料金!D3+C2*基本料金!D4+D2*基本料金!D6+E2*基本料金!D7+F2*基本料金!D8</f>
        <v>69.5</v>
      </c>
      <c r="J2" s="6" t="n">
        <f aca="false">B2*基本料金!E3+C2*基本料金!E4+D2*基本料金!E6+E2*基本料金!E7+F2*基本料金!E8+H2*前提!$B$3</f>
        <v>87718</v>
      </c>
      <c r="K2" s="6" t="n">
        <f aca="false">H2-J2-前提!$B$8-前提!$B$5*前提!$B$2</f>
        <v>132882</v>
      </c>
      <c r="L2" s="6" t="n">
        <f aca="false">I2*前提!$B$9+SUM(D2:F2)*前提!$B$10</f>
        <v>102.875</v>
      </c>
      <c r="M2" s="6" t="str">
        <f aca="false">IF(L2&lt;=前提!$B$5-前提!$B$6-前提!$B$7,"可","超過")</f>
        <v>超過</v>
      </c>
      <c r="N2" s="5" t="s">
        <v>100</v>
      </c>
    </row>
    <row r="3" customFormat="false" ht="48" hidden="false" customHeight="true" outlineLevel="0" collapsed="false">
      <c r="A3" s="5" t="s">
        <v>101</v>
      </c>
      <c r="B3" s="3" t="n">
        <v>1</v>
      </c>
      <c r="C3" s="3" t="n">
        <v>0</v>
      </c>
      <c r="D3" s="3" t="n">
        <v>10</v>
      </c>
      <c r="E3" s="3" t="n">
        <v>16</v>
      </c>
      <c r="F3" s="3" t="n">
        <v>6</v>
      </c>
      <c r="G3" s="2" t="s">
        <v>45</v>
      </c>
      <c r="H3" s="6" t="n">
        <f aca="false">B3*基本料金!C3+C3*基本料金!C4+D3*基本料金!C6+E3*基本料金!C7+F3*基本料金!C8</f>
        <v>572600</v>
      </c>
      <c r="I3" s="6" t="n">
        <f aca="false">B3*基本料金!D3+C3*基本料金!D4+D3*基本料金!D6+E3*基本料金!D7+F3*基本料金!D8</f>
        <v>43.5</v>
      </c>
      <c r="J3" s="6" t="n">
        <f aca="false">B3*基本料金!E3+C3*基本料金!E4+D3*基本料金!E6+E3*基本料金!E7+F3*基本料金!E8+H3*前提!$B$3</f>
        <v>45778</v>
      </c>
      <c r="K3" s="6" t="n">
        <f aca="false">H3-J3-前提!$B$8-前提!$B$5*前提!$B$2</f>
        <v>-223178</v>
      </c>
      <c r="L3" s="6" t="n">
        <f aca="false">I3*前提!$B$9+SUM(D3:F3)*前提!$B$10</f>
        <v>70.375</v>
      </c>
      <c r="M3" s="6" t="str">
        <f aca="false">IF(L3&lt;=前提!$B$5-前提!$B$6-前提!$B$7,"可","超過")</f>
        <v>可</v>
      </c>
      <c r="N3" s="5" t="s">
        <v>102</v>
      </c>
    </row>
    <row r="4" customFormat="false" ht="48" hidden="false" customHeight="true" outlineLevel="0" collapsed="false">
      <c r="A4" s="2" t="s">
        <v>103</v>
      </c>
      <c r="B4" s="3" t="n">
        <v>2</v>
      </c>
      <c r="C4" s="3" t="n">
        <v>0</v>
      </c>
      <c r="D4" s="3" t="n">
        <v>10</v>
      </c>
      <c r="E4" s="3" t="n">
        <v>16</v>
      </c>
      <c r="F4" s="3" t="n">
        <v>6</v>
      </c>
      <c r="G4" s="2" t="s">
        <v>45</v>
      </c>
      <c r="H4" s="6" t="n">
        <f aca="false">B4*基本料金!C3+C4*基本料金!C4+D4*基本料金!C6+E4*基本料金!C7+F4*基本料金!C8</f>
        <v>770600</v>
      </c>
      <c r="I4" s="6" t="n">
        <f aca="false">B4*基本料金!D3+C4*基本料金!D4+D4*基本料金!D6+E4*基本料金!D7+F4*基本料金!D8</f>
        <v>58.5</v>
      </c>
      <c r="J4" s="6" t="n">
        <f aca="false">B4*基本料金!E3+C4*基本料金!E4+D4*基本料金!E6+E4*基本料金!E7+F4*基本料金!E8+H4*前提!$B$3</f>
        <v>66718</v>
      </c>
      <c r="K4" s="6" t="n">
        <f aca="false">H4-J4-前提!$B$8-前提!$B$5*前提!$B$2</f>
        <v>-46118</v>
      </c>
      <c r="L4" s="6" t="n">
        <f aca="false">I4*前提!$B$9+SUM(D4:F4)*前提!$B$10</f>
        <v>89.125</v>
      </c>
      <c r="M4" s="6" t="str">
        <f aca="false">IF(L4&lt;=前提!$B$5-前提!$B$6-前提!$B$7,"可","超過")</f>
        <v>超過</v>
      </c>
      <c r="N4" s="5" t="s">
        <v>102</v>
      </c>
    </row>
    <row r="5" customFormat="false" ht="48" hidden="false" customHeight="true" outlineLevel="0" collapsed="false">
      <c r="A5" s="2" t="s">
        <v>104</v>
      </c>
      <c r="B5" s="3" t="n">
        <v>3</v>
      </c>
      <c r="C5" s="3" t="n">
        <v>0</v>
      </c>
      <c r="D5" s="3" t="n">
        <v>10</v>
      </c>
      <c r="E5" s="3" t="n">
        <v>16</v>
      </c>
      <c r="F5" s="3" t="n">
        <v>6</v>
      </c>
      <c r="G5" s="2" t="s">
        <v>45</v>
      </c>
      <c r="H5" s="6" t="n">
        <f aca="false">B5*基本料金!C3+C5*基本料金!C4+D5*基本料金!C6+E5*基本料金!C7+F5*基本料金!C8</f>
        <v>968600</v>
      </c>
      <c r="I5" s="6" t="n">
        <f aca="false">B5*基本料金!D3+C5*基本料金!D4+D5*基本料金!D6+E5*基本料金!D7+F5*基本料金!D8</f>
        <v>73.5</v>
      </c>
      <c r="J5" s="6" t="n">
        <f aca="false">B5*基本料金!E3+C5*基本料金!E4+D5*基本料金!E6+E5*基本料金!E7+F5*基本料金!E8+H5*前提!$B$3</f>
        <v>87658</v>
      </c>
      <c r="K5" s="6" t="n">
        <f aca="false">H5-J5-前提!$B$8-前提!$B$5*前提!$B$2</f>
        <v>130942</v>
      </c>
      <c r="L5" s="6" t="n">
        <f aca="false">I5*前提!$B$9+SUM(D5:F5)*前提!$B$10</f>
        <v>107.875</v>
      </c>
      <c r="M5" s="6" t="str">
        <f aca="false">IF(L5&lt;=前提!$B$5-前提!$B$6-前提!$B$7,"可","超過")</f>
        <v>超過</v>
      </c>
      <c r="N5" s="2" t="s">
        <v>105</v>
      </c>
    </row>
    <row r="6" customFormat="false" ht="48" hidden="false" customHeight="true" outlineLevel="0" collapsed="false">
      <c r="A6" s="2" t="s">
        <v>106</v>
      </c>
      <c r="B6" s="3" t="n">
        <v>2</v>
      </c>
      <c r="C6" s="3" t="n">
        <v>0</v>
      </c>
      <c r="D6" s="3" t="n">
        <v>10</v>
      </c>
      <c r="E6" s="3" t="n">
        <v>16</v>
      </c>
      <c r="F6" s="3" t="n">
        <v>6</v>
      </c>
      <c r="G6" s="2" t="s">
        <v>107</v>
      </c>
      <c r="H6" s="6" t="n">
        <f aca="false">B6*基本料金!I3+C6*基本料金!I4+D6*基本料金!I6+E6*基本料金!I7+F6*基本料金!I8</f>
        <v>978600</v>
      </c>
      <c r="I6" s="6" t="n">
        <f aca="false">B6*基本料金!J3+C6*基本料金!J4+D6*基本料金!J6+E6*基本料金!J7+F6*基本料金!J8</f>
        <v>75.375</v>
      </c>
      <c r="J6" s="6" t="n">
        <f aca="false">B6*基本料金!E3+C6*基本料金!E4+D6*基本料金!E6+E6*基本料金!E7+F6*基本料金!E8+H6*前提!$B$3</f>
        <v>72958</v>
      </c>
      <c r="K6" s="6" t="n">
        <f aca="false">H6-J6-前提!$B$8-前提!$B$5*前提!$B$2</f>
        <v>155642</v>
      </c>
      <c r="L6" s="6" t="n">
        <f aca="false">I6*前提!$B$9+SUM(D6:F6)*前提!$B$10</f>
        <v>110.21875</v>
      </c>
      <c r="M6" s="6" t="str">
        <f aca="false">IF(L6&lt;=前提!$B$5-前提!$B$6-前提!$B$7,"可","超過")</f>
        <v>超過</v>
      </c>
      <c r="N6" s="2" t="s">
        <v>108</v>
      </c>
    </row>
    <row r="7" customFormat="false" ht="48" hidden="false" customHeight="true" outlineLevel="0" collapsed="false">
      <c r="A7" s="2" t="s">
        <v>109</v>
      </c>
      <c r="B7" s="3" t="n">
        <v>1</v>
      </c>
      <c r="C7" s="3" t="n">
        <v>0</v>
      </c>
      <c r="D7" s="3" t="n">
        <v>0</v>
      </c>
      <c r="E7" s="3" t="n">
        <v>0</v>
      </c>
      <c r="F7" s="3" t="n">
        <v>0</v>
      </c>
      <c r="G7" s="2" t="s">
        <v>45</v>
      </c>
      <c r="H7" s="6" t="n">
        <f aca="false">B7*基本料金!C3+C7*基本料金!C4+D7*基本料金!C6+E7*基本料金!C7+F7*基本料金!C8</f>
        <v>198000</v>
      </c>
      <c r="I7" s="6" t="n">
        <f aca="false">B7*基本料金!D3+C7*基本料金!D4+D7*基本料金!D6+E7*基本料金!D7+F7*基本料金!D8</f>
        <v>15</v>
      </c>
      <c r="J7" s="6" t="n">
        <f aca="false">B7*基本料金!E3+C7*基本料金!E4+D7*基本料金!E6+E7*基本料金!E7+F7*基本料金!E8+H7*前提!$B$3</f>
        <v>20940</v>
      </c>
      <c r="K7" s="6" t="n">
        <f aca="false">H7-J7-前提!$B$8-前提!$B$5*前提!$B$2</f>
        <v>-572940</v>
      </c>
      <c r="L7" s="6" t="n">
        <f aca="false">I7*前提!$B$9+SUM(D7:F7)*前提!$B$10</f>
        <v>18.75</v>
      </c>
      <c r="M7" s="6" t="str">
        <f aca="false">IF(L7&lt;=前提!$B$5-前提!$B$6-前提!$B$7,"可","超過")</f>
        <v>可</v>
      </c>
      <c r="N7" s="2" t="s">
        <v>110</v>
      </c>
    </row>
  </sheetData>
  <autoFilter ref="A1:N7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2" min="1" style="0" width="26.12"/>
    <col collapsed="false" customWidth="true" hidden="false" outlineLevel="0" max="10" min="3" style="0" width="22.86"/>
    <col collapsed="false" customWidth="true" hidden="false" outlineLevel="0" max="11" min="11" style="0" width="59.86"/>
  </cols>
  <sheetData>
    <row r="1" customFormat="false" ht="15" hidden="false" customHeight="false" outlineLevel="0" collapsed="false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98</v>
      </c>
    </row>
    <row r="2" customFormat="false" ht="48" hidden="false" customHeight="true" outlineLevel="0" collapsed="false">
      <c r="A2" s="5" t="s">
        <v>121</v>
      </c>
      <c r="B2" s="3" t="n">
        <v>5</v>
      </c>
      <c r="C2" s="6" t="n">
        <f aca="false">基本料金!C2</f>
        <v>79800</v>
      </c>
      <c r="D2" s="6" t="n">
        <f aca="false">基本料金!C5</f>
        <v>0</v>
      </c>
      <c r="E2" s="6" t="n">
        <f aca="false">基本料金!I2</f>
        <v>99800</v>
      </c>
      <c r="F2" s="6" t="n">
        <f aca="false">基本料金!I5</f>
        <v>0</v>
      </c>
      <c r="G2" s="6" t="n">
        <f aca="false">前提!B11</f>
        <v>3500</v>
      </c>
      <c r="H2" s="6" t="n">
        <f aca="false">C2+(D2+G2)*前提!$B$12</f>
        <v>205800</v>
      </c>
      <c r="I2" s="6" t="n">
        <f aca="false">E2+(F2+G2)*前提!$B$12</f>
        <v>225800</v>
      </c>
      <c r="J2" s="6" t="n">
        <f aca="false">I2-H2</f>
        <v>20000</v>
      </c>
      <c r="K2" s="2" t="s">
        <v>122</v>
      </c>
    </row>
    <row r="3" customFormat="false" ht="48" hidden="false" customHeight="true" outlineLevel="0" collapsed="false">
      <c r="A3" s="5" t="s">
        <v>123</v>
      </c>
      <c r="B3" s="3" t="n">
        <v>5</v>
      </c>
      <c r="C3" s="6" t="n">
        <f aca="false">基本料金!C3</f>
        <v>198000</v>
      </c>
      <c r="D3" s="6" t="n">
        <f aca="false">基本料金!C5</f>
        <v>0</v>
      </c>
      <c r="E3" s="6" t="n">
        <f aca="false">基本料金!I3</f>
        <v>248000</v>
      </c>
      <c r="F3" s="6" t="n">
        <f aca="false">基本料金!I5</f>
        <v>0</v>
      </c>
      <c r="G3" s="6" t="n">
        <f aca="false">前提!B11</f>
        <v>3500</v>
      </c>
      <c r="H3" s="6" t="n">
        <f aca="false">C3+(D3+G3)*前提!$B$12</f>
        <v>324000</v>
      </c>
      <c r="I3" s="6" t="n">
        <f aca="false">E3+(F3+G3)*前提!$B$12</f>
        <v>374000</v>
      </c>
      <c r="J3" s="6" t="n">
        <f aca="false">I3-H3</f>
        <v>50000</v>
      </c>
      <c r="K3" s="2" t="s">
        <v>122</v>
      </c>
    </row>
    <row r="4" customFormat="false" ht="48" hidden="false" customHeight="true" outlineLevel="0" collapsed="false">
      <c r="A4" s="5" t="s">
        <v>124</v>
      </c>
      <c r="B4" s="3" t="n">
        <v>7</v>
      </c>
      <c r="C4" s="6" t="n">
        <f aca="false">基本料金!C3</f>
        <v>198000</v>
      </c>
      <c r="D4" s="6" t="n">
        <f aca="false">基本料金!C7</f>
        <v>9800</v>
      </c>
      <c r="E4" s="6" t="n">
        <f aca="false">基本料金!I3</f>
        <v>248000</v>
      </c>
      <c r="F4" s="6" t="n">
        <f aca="false">基本料金!I7</f>
        <v>12800</v>
      </c>
      <c r="G4" s="6" t="n">
        <f aca="false">前提!B11</f>
        <v>3500</v>
      </c>
      <c r="H4" s="6" t="n">
        <f aca="false">C4+(D4+G4)*前提!$B$12</f>
        <v>676800</v>
      </c>
      <c r="I4" s="6" t="n">
        <f aca="false">E4+(F4+G4)*前提!$B$12</f>
        <v>834800</v>
      </c>
      <c r="J4" s="6" t="n">
        <f aca="false">I4-H4</f>
        <v>158000</v>
      </c>
      <c r="K4" s="2" t="s">
        <v>122</v>
      </c>
    </row>
    <row r="5" customFormat="false" ht="48" hidden="false" customHeight="true" outlineLevel="0" collapsed="false">
      <c r="A5" s="5" t="s">
        <v>125</v>
      </c>
      <c r="B5" s="3" t="n">
        <v>5</v>
      </c>
      <c r="C5" s="6" t="n">
        <f aca="false">基本料金!C4</f>
        <v>398000</v>
      </c>
      <c r="D5" s="6" t="n">
        <f aca="false">基本料金!C5</f>
        <v>0</v>
      </c>
      <c r="E5" s="6" t="n">
        <f aca="false">基本料金!I4</f>
        <v>448000</v>
      </c>
      <c r="F5" s="6" t="n">
        <f aca="false">基本料金!I5</f>
        <v>0</v>
      </c>
      <c r="G5" s="6" t="n">
        <f aca="false">前提!B11</f>
        <v>3500</v>
      </c>
      <c r="H5" s="6" t="n">
        <f aca="false">C5+(D5+G5)*前提!$B$12</f>
        <v>524000</v>
      </c>
      <c r="I5" s="6" t="n">
        <f aca="false">E5+(F5+G5)*前提!$B$12</f>
        <v>574000</v>
      </c>
      <c r="J5" s="6" t="n">
        <f aca="false">I5-H5</f>
        <v>50000</v>
      </c>
      <c r="K5" s="2" t="s">
        <v>122</v>
      </c>
    </row>
  </sheetData>
  <autoFilter ref="A1:K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2" min="1" style="0" width="26.12"/>
    <col collapsed="false" customWidth="true" hidden="false" outlineLevel="0" max="3" min="3" style="0" width="22.86"/>
    <col collapsed="false" customWidth="true" hidden="false" outlineLevel="0" max="4" min="4" style="0" width="59.86"/>
  </cols>
  <sheetData>
    <row r="1" customFormat="false" ht="15" hidden="false" customHeight="false" outlineLevel="0" collapsed="false">
      <c r="A1" s="1" t="s">
        <v>126</v>
      </c>
      <c r="B1" s="1" t="s">
        <v>127</v>
      </c>
      <c r="C1" s="1" t="s">
        <v>58</v>
      </c>
      <c r="D1" s="1" t="s">
        <v>128</v>
      </c>
    </row>
    <row r="2" customFormat="false" ht="48" hidden="false" customHeight="true" outlineLevel="0" collapsed="false">
      <c r="A2" s="5" t="s">
        <v>129</v>
      </c>
      <c r="B2" s="5" t="s">
        <v>130</v>
      </c>
      <c r="C2" s="2" t="s">
        <v>131</v>
      </c>
      <c r="D2" s="5" t="s">
        <v>132</v>
      </c>
    </row>
    <row r="3" customFormat="false" ht="48" hidden="false" customHeight="true" outlineLevel="0" collapsed="false">
      <c r="A3" s="2" t="s">
        <v>133</v>
      </c>
      <c r="B3" s="5" t="s">
        <v>134</v>
      </c>
      <c r="C3" s="2" t="s">
        <v>135</v>
      </c>
      <c r="D3" s="5" t="s">
        <v>136</v>
      </c>
    </row>
    <row r="4" customFormat="false" ht="48" hidden="false" customHeight="true" outlineLevel="0" collapsed="false">
      <c r="A4" s="5" t="s">
        <v>137</v>
      </c>
      <c r="B4" s="5" t="s">
        <v>138</v>
      </c>
      <c r="C4" s="2" t="s">
        <v>139</v>
      </c>
      <c r="D4" s="5" t="s">
        <v>140</v>
      </c>
    </row>
    <row r="5" customFormat="false" ht="48" hidden="false" customHeight="true" outlineLevel="0" collapsed="false">
      <c r="A5" s="2" t="s">
        <v>141</v>
      </c>
      <c r="B5" s="2" t="s">
        <v>142</v>
      </c>
      <c r="C5" s="2" t="s">
        <v>143</v>
      </c>
      <c r="D5" s="5" t="s">
        <v>144</v>
      </c>
    </row>
    <row r="6" customFormat="false" ht="48" hidden="false" customHeight="true" outlineLevel="0" collapsed="false">
      <c r="A6" s="2" t="s">
        <v>145</v>
      </c>
      <c r="B6" s="2" t="s">
        <v>146</v>
      </c>
      <c r="C6" s="2" t="s">
        <v>147</v>
      </c>
      <c r="D6" s="5" t="s">
        <v>148</v>
      </c>
    </row>
    <row r="7" customFormat="false" ht="48" hidden="false" customHeight="true" outlineLevel="0" collapsed="false">
      <c r="A7" s="5" t="s">
        <v>149</v>
      </c>
      <c r="B7" s="2" t="s">
        <v>150</v>
      </c>
      <c r="C7" s="2" t="s">
        <v>151</v>
      </c>
      <c r="D7" s="2" t="s">
        <v>152</v>
      </c>
    </row>
    <row r="8" customFormat="false" ht="48" hidden="false" customHeight="true" outlineLevel="0" collapsed="false">
      <c r="A8" s="2" t="s">
        <v>153</v>
      </c>
      <c r="B8" s="2" t="s">
        <v>154</v>
      </c>
      <c r="C8" s="2" t="s">
        <v>155</v>
      </c>
      <c r="D8" s="2" t="s">
        <v>156</v>
      </c>
    </row>
    <row r="9" customFormat="false" ht="48" hidden="false" customHeight="true" outlineLevel="0" collapsed="false">
      <c r="A9" s="2" t="s">
        <v>157</v>
      </c>
      <c r="B9" s="2" t="s">
        <v>158</v>
      </c>
      <c r="C9" s="2" t="s">
        <v>159</v>
      </c>
      <c r="D9" s="5" t="s">
        <v>160</v>
      </c>
    </row>
    <row r="10" customFormat="false" ht="48" hidden="false" customHeight="true" outlineLevel="0" collapsed="false">
      <c r="A10" s="2" t="s">
        <v>161</v>
      </c>
      <c r="B10" s="2" t="s">
        <v>162</v>
      </c>
      <c r="C10" s="2" t="s">
        <v>163</v>
      </c>
      <c r="D10" s="2" t="s">
        <v>164</v>
      </c>
    </row>
    <row r="11" customFormat="false" ht="48" hidden="false" customHeight="true" outlineLevel="0" collapsed="false">
      <c r="A11" s="2" t="s">
        <v>165</v>
      </c>
      <c r="B11" s="5" t="s">
        <v>166</v>
      </c>
      <c r="C11" s="2" t="s">
        <v>167</v>
      </c>
      <c r="D11" s="5" t="s">
        <v>168</v>
      </c>
    </row>
    <row r="12" customFormat="false" ht="48" hidden="false" customHeight="true" outlineLevel="0" collapsed="false">
      <c r="A12" s="2" t="s">
        <v>169</v>
      </c>
      <c r="B12" s="2" t="s">
        <v>170</v>
      </c>
      <c r="C12" s="2" t="s">
        <v>171</v>
      </c>
      <c r="D12" s="5" t="s">
        <v>172</v>
      </c>
    </row>
  </sheetData>
  <autoFilter ref="A1:D12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2026-09-18T10:17:38Z</dcterms:created>
  <dc:creator>openpyxl</dc:creator>
  <dc:description/>
  <dc:language>ja-JP</dc:language>
  <cp:lastModifiedBy/>
  <dcterms:modified xsi:type="dcterms:W3CDTF">2026-09-18T10:17:38Z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