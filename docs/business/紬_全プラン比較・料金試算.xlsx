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7.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comments2.xml" ContentType="application/vnd.openxmlformats-officedocument.spreadsheetml.comments+xml"/>
  <Override PartName="/xl/comments5.xml" ContentType="application/vnd.openxmlformats-officedocument.spreadsheetml.comments+xml"/>
  <Override PartName="/xl/theme/theme1.xml" ContentType="application/vnd.openxmlformats-officedocument.theme+xml"/>
  <Override PartName="/xl/comments8.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vmlDrawing1.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vmlDrawing3.vml" ContentType="application/vnd.openxmlformats-officedocument.vmlDrawing"/>
  <Override PartName="/xl/drawings/drawing7.xml" ContentType="application/vnd.openxmlformats-officedocument.drawing+xml"/>
  <Override PartName="/xl/drawings/vmlDrawing2.vml" ContentType="application/vnd.openxmlformats-officedocument.vmlDrawing"/>
  <Override PartName="/xl/drawings/drawing5.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0 はじめに" sheetId="1" state="visible" r:id="rId3"/>
    <sheet name="01 制作プラン" sheetId="2" state="visible" r:id="rId4"/>
    <sheet name="02 月額サポート" sheetId="3" state="visible" r:id="rId5"/>
    <sheet name="03 追加オプション" sheetId="4" state="visible" r:id="rId6"/>
    <sheet name="04 総額シミュレーター" sheetId="5" state="visible" r:id="rId7"/>
    <sheet name="05 月次採算" sheetId="6" state="visible" r:id="rId8"/>
    <sheet name="06 受注構成" sheetId="7" state="visible" r:id="rId9"/>
    <sheet name="07 計算前提" sheetId="8" state="visible" r:id="rId10"/>
    <sheet name="08 条件と出典" sheetId="9" state="visible" r:id="rId11"/>
  </sheets>
  <definedNames>
    <definedName function="false" hidden="false" localSheetId="0" name="_xlnm.Print_Area" vbProcedure="false">'00 はじめに'!$A$1:$F$30</definedName>
    <definedName function="false" hidden="false" localSheetId="0" name="_xlnm.Print_Titles" vbProcedure="false">'00 はじめに'!$1:$5</definedName>
    <definedName function="false" hidden="false" localSheetId="1" name="_xlnm.Print_Area" vbProcedure="false">'01 制作プラン'!$A$1:$I$14</definedName>
    <definedName function="false" hidden="false" localSheetId="1" name="_xlnm.Print_Titles" vbProcedure="false">'01 制作プラン'!$1:$5</definedName>
    <definedName function="false" hidden="true" localSheetId="1" name="_xlnm._FilterDatabase" vbProcedure="false">'01 制作プラン'!$A$5:$I$11</definedName>
    <definedName function="false" hidden="false" localSheetId="2" name="_xlnm.Print_Area" vbProcedure="false">'02 月額サポート'!$A$1:$H$13</definedName>
    <definedName function="false" hidden="false" localSheetId="2" name="_xlnm.Print_Titles" vbProcedure="false">'02 月額サポート'!$1:$5</definedName>
    <definedName function="false" hidden="true" localSheetId="2" name="_xlnm._FilterDatabase" vbProcedure="false">'02 月額サポート'!$A$5:$H$10</definedName>
    <definedName function="false" hidden="false" localSheetId="3" name="_xlnm.Print_Area" vbProcedure="false">'03 追加オプション'!$A$1:$G$15</definedName>
    <definedName function="false" hidden="false" localSheetId="3" name="_xlnm.Print_Titles" vbProcedure="false">'03 追加オプション'!$1:$5</definedName>
    <definedName function="false" hidden="true" localSheetId="3" name="_xlnm._FilterDatabase" vbProcedure="false">'03 追加オプション'!$A$5:$G$13</definedName>
    <definedName function="false" hidden="false" localSheetId="4" name="_xlnm.Print_Area" vbProcedure="false">'04 総額シミュレーター'!$A$1:$J$14</definedName>
    <definedName function="false" hidden="false" localSheetId="4" name="_xlnm.Print_Titles" vbProcedure="false">'04 総額シミュレーター'!$1:$5</definedName>
    <definedName function="false" hidden="true" localSheetId="4" name="_xlnm._FilterDatabase" vbProcedure="false">'04 総額シミュレーター'!$A$5:$J$11</definedName>
    <definedName function="false" hidden="false" localSheetId="5" name="_xlnm.Print_Area" vbProcedure="false">'05 月次採算'!$A$1:$J$47</definedName>
    <definedName function="false" hidden="false" localSheetId="5" name="_xlnm.Print_Titles" vbProcedure="false">'05 月次採算'!$1:$5</definedName>
    <definedName function="false" hidden="true" localSheetId="5" name="_xlnm._FilterDatabase" vbProcedure="false">'05 月次採算'!$A$5:$J$15</definedName>
    <definedName function="false" hidden="false" localSheetId="6" name="_xlnm.Print_Area" vbProcedure="false">'06 受注構成'!$A$1:$L$17</definedName>
    <definedName function="false" hidden="false" localSheetId="6" name="_xlnm.Print_Titles" vbProcedure="false">'06 受注構成'!$1:$5</definedName>
    <definedName function="false" hidden="true" localSheetId="6" name="_xlnm._FilterDatabase" vbProcedure="false">'06 受注構成'!$A$5:$L$15</definedName>
    <definedName function="false" hidden="false" localSheetId="7" name="_xlnm.Print_Area" vbProcedure="false">'07 計算前提'!$A$1:$K$43</definedName>
    <definedName function="false" hidden="false" localSheetId="7" name="_xlnm.Print_Titles" vbProcedure="false">'07 計算前提'!$1:$5</definedName>
    <definedName function="false" hidden="false" localSheetId="8" name="_xlnm.Print_Area" vbProcedure="false">'08 条件と出典'!$A$1:$D$20</definedName>
    <definedName function="false" hidden="false" localSheetId="8" name="_xlnm.Print_Titles" vbProcedure="false">'08 条件と出典'!$1:$5</definedName>
    <definedName function="false" hidden="true" localSheetId="8" name="_xlnm._FilterDatabase" vbProcedure="false">'08 条件と出典'!$A$5:$D$20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紬</author>
  </authors>
  <commentList>
    <comment ref="C6" authorId="0">
      <text>
        <r>
          <rPr>
            <sz val="10"/>
            <rFont val="Arial"/>
            <family val="2"/>
          </rPr>
          <t xml:space="preserve">[S1] </t>
        </r>
        <r>
          <rPr>
            <sz val="10"/>
            <rFont val="Hiragino Maru Gothic Pro W4"/>
            <family val="2"/>
          </rPr>
          <t xml:space="preserve">現行価格／</t>
        </r>
        <r>
          <rPr>
            <sz val="10"/>
            <rFont val="Arial"/>
            <family val="2"/>
          </rPr>
          <t xml:space="preserve">[S3] </t>
        </r>
        <r>
          <rPr>
            <sz val="10"/>
            <rFont val="Hiragino Maru Gothic Pro W4"/>
            <family val="2"/>
          </rPr>
          <t xml:space="preserve">未採用の価格仮説。現行・準備中・検討案は </t>
        </r>
        <r>
          <rPr>
            <sz val="10"/>
            <rFont val="Arial"/>
            <family val="2"/>
          </rPr>
          <t xml:space="preserve">B </t>
        </r>
        <r>
          <rPr>
            <sz val="10"/>
            <rFont val="Hiragino Maru Gothic Pro W4"/>
            <family val="2"/>
          </rPr>
          <t xml:space="preserve">列を確認。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25</xdr:rowOff>
              </xdr:to>
            </anchor>
          </commentPr>
        </mc:Choice>
        <mc:Fallback/>
      </mc:AlternateContent>
    </comment>
    <comment ref="C7" authorId="0">
      <text>
        <r>
          <rPr>
            <sz val="10"/>
            <rFont val="Arial"/>
            <family val="2"/>
          </rPr>
          <t xml:space="preserve">[S1] </t>
        </r>
        <r>
          <rPr>
            <sz val="10"/>
            <rFont val="Hiragino Maru Gothic Pro W4"/>
            <family val="2"/>
          </rPr>
          <t xml:space="preserve">現行価格／</t>
        </r>
        <r>
          <rPr>
            <sz val="10"/>
            <rFont val="Arial"/>
            <family val="2"/>
          </rPr>
          <t xml:space="preserve">[S3] </t>
        </r>
        <r>
          <rPr>
            <sz val="10"/>
            <rFont val="Hiragino Maru Gothic Pro W4"/>
            <family val="2"/>
          </rPr>
          <t xml:space="preserve">未採用の価格仮説。現行・準備中・検討案は </t>
        </r>
        <r>
          <rPr>
            <sz val="10"/>
            <rFont val="Arial"/>
            <family val="2"/>
          </rPr>
          <t xml:space="preserve">B </t>
        </r>
        <r>
          <rPr>
            <sz val="10"/>
            <rFont val="Hiragino Maru Gothic Pro W4"/>
            <family val="2"/>
          </rPr>
          <t xml:space="preserve">列を確認。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25</xdr:rowOff>
              </xdr:to>
            </anchor>
          </commentPr>
        </mc:Choice>
        <mc:Fallback/>
      </mc:AlternateContent>
    </comment>
    <comment ref="C8" authorId="0">
      <text>
        <r>
          <rPr>
            <sz val="10"/>
            <rFont val="Arial"/>
            <family val="2"/>
          </rPr>
          <t xml:space="preserve">[S1] </t>
        </r>
        <r>
          <rPr>
            <sz val="10"/>
            <rFont val="Hiragino Maru Gothic Pro W4"/>
            <family val="2"/>
          </rPr>
          <t xml:space="preserve">現行価格／</t>
        </r>
        <r>
          <rPr>
            <sz val="10"/>
            <rFont val="Arial"/>
            <family val="2"/>
          </rPr>
          <t xml:space="preserve">[S3] </t>
        </r>
        <r>
          <rPr>
            <sz val="10"/>
            <rFont val="Hiragino Maru Gothic Pro W4"/>
            <family val="2"/>
          </rPr>
          <t xml:space="preserve">未採用の価格仮説。現行・準備中・検討案は </t>
        </r>
        <r>
          <rPr>
            <sz val="10"/>
            <rFont val="Arial"/>
            <family val="2"/>
          </rPr>
          <t xml:space="preserve">B </t>
        </r>
        <r>
          <rPr>
            <sz val="10"/>
            <rFont val="Hiragino Maru Gothic Pro W4"/>
            <family val="2"/>
          </rPr>
          <t xml:space="preserve">列を確認。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25</xdr:rowOff>
              </xdr:to>
            </anchor>
          </commentPr>
        </mc:Choice>
        <mc:Fallback/>
      </mc:AlternateContent>
    </comment>
    <comment ref="C9" authorId="0">
      <text>
        <r>
          <rPr>
            <sz val="10"/>
            <rFont val="Arial"/>
            <family val="2"/>
          </rPr>
          <t xml:space="preserve">[S1] </t>
        </r>
        <r>
          <rPr>
            <sz val="10"/>
            <rFont val="Hiragino Maru Gothic Pro W4"/>
            <family val="2"/>
          </rPr>
          <t xml:space="preserve">現行価格／</t>
        </r>
        <r>
          <rPr>
            <sz val="10"/>
            <rFont val="Arial"/>
            <family val="2"/>
          </rPr>
          <t xml:space="preserve">[S3] </t>
        </r>
        <r>
          <rPr>
            <sz val="10"/>
            <rFont val="Hiragino Maru Gothic Pro W4"/>
            <family val="2"/>
          </rPr>
          <t xml:space="preserve">未採用の価格仮説。現行・準備中・検討案は </t>
        </r>
        <r>
          <rPr>
            <sz val="10"/>
            <rFont val="Arial"/>
            <family val="2"/>
          </rPr>
          <t xml:space="preserve">B </t>
        </r>
        <r>
          <rPr>
            <sz val="10"/>
            <rFont val="Hiragino Maru Gothic Pro W4"/>
            <family val="2"/>
          </rPr>
          <t xml:space="preserve">列を確認。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25</xdr:rowOff>
              </xdr:to>
            </anchor>
          </commentPr>
        </mc:Choice>
        <mc:Fallback/>
      </mc:AlternateContent>
    </comment>
    <comment ref="C10" authorId="0">
      <text>
        <r>
          <rPr>
            <sz val="10"/>
            <rFont val="Arial"/>
            <family val="2"/>
          </rPr>
          <t xml:space="preserve">[S1] </t>
        </r>
        <r>
          <rPr>
            <sz val="10"/>
            <rFont val="Hiragino Maru Gothic Pro W4"/>
            <family val="2"/>
          </rPr>
          <t xml:space="preserve">現行価格／</t>
        </r>
        <r>
          <rPr>
            <sz val="10"/>
            <rFont val="Arial"/>
            <family val="2"/>
          </rPr>
          <t xml:space="preserve">[S3] </t>
        </r>
        <r>
          <rPr>
            <sz val="10"/>
            <rFont val="Hiragino Maru Gothic Pro W4"/>
            <family val="2"/>
          </rPr>
          <t xml:space="preserve">未採用の価格仮説。現行・準備中・検討案は </t>
        </r>
        <r>
          <rPr>
            <sz val="10"/>
            <rFont val="Arial"/>
            <family val="2"/>
          </rPr>
          <t xml:space="preserve">B </t>
        </r>
        <r>
          <rPr>
            <sz val="10"/>
            <rFont val="Hiragino Maru Gothic Pro W4"/>
            <family val="2"/>
          </rPr>
          <t xml:space="preserve">列を確認。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25</xdr:rowOff>
              </xdr:to>
            </anchor>
          </commentPr>
        </mc:Choice>
        <mc:Fallback/>
      </mc:AlternateContent>
    </comment>
    <comment ref="C11" authorId="0">
      <text>
        <r>
          <rPr>
            <sz val="10"/>
            <rFont val="Arial"/>
            <family val="2"/>
          </rPr>
          <t xml:space="preserve">[S1] </t>
        </r>
        <r>
          <rPr>
            <sz val="10"/>
            <rFont val="Hiragino Maru Gothic Pro W4"/>
            <family val="2"/>
          </rPr>
          <t xml:space="preserve">現行価格／</t>
        </r>
        <r>
          <rPr>
            <sz val="10"/>
            <rFont val="Arial"/>
            <family val="2"/>
          </rPr>
          <t xml:space="preserve">[S3] </t>
        </r>
        <r>
          <rPr>
            <sz val="10"/>
            <rFont val="Hiragino Maru Gothic Pro W4"/>
            <family val="2"/>
          </rPr>
          <t xml:space="preserve">未採用の価格仮説。現行・準備中・検討案は </t>
        </r>
        <r>
          <rPr>
            <sz val="10"/>
            <rFont val="Arial"/>
            <family val="2"/>
          </rPr>
          <t xml:space="preserve">B </t>
        </r>
        <r>
          <rPr>
            <sz val="10"/>
            <rFont val="Hiragino Maru Gothic Pro W4"/>
            <family val="2"/>
          </rPr>
          <t xml:space="preserve">列を確認。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23</xdr:colOff>
                <xdr:row>1</xdr:row>
                <xdr:rowOff>25</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紬</author>
  </authors>
  <commentList>
    <comment ref="C6" authorId="0">
      <text>
        <r>
          <rPr>
            <sz val="10"/>
            <rFont val="Arial"/>
            <family val="2"/>
          </rPr>
          <t xml:space="preserve">[S1/S2] </t>
        </r>
        <r>
          <rPr>
            <sz val="10"/>
            <rFont val="Hiragino Maru Gothic Pro W4"/>
            <family val="2"/>
          </rPr>
          <t xml:space="preserve">現行月額。</t>
        </r>
        <r>
          <rPr>
            <sz val="10"/>
            <rFont val="Arial"/>
            <family val="2"/>
          </rPr>
          <t xml:space="preserve">[S3] </t>
        </r>
        <r>
          <rPr>
            <sz val="10"/>
            <rFont val="Hiragino Maru Gothic Pro W4"/>
            <family val="2"/>
          </rPr>
          <t xml:space="preserve">技術保守のみ未採用の仮説。</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38</xdr:colOff>
                <xdr:row>1</xdr:row>
                <xdr:rowOff>25</xdr:rowOff>
              </xdr:to>
            </anchor>
          </commentPr>
        </mc:Choice>
        <mc:Fallback/>
      </mc:AlternateContent>
    </comment>
    <comment ref="C7" authorId="0">
      <text>
        <r>
          <rPr>
            <sz val="10"/>
            <rFont val="Arial"/>
            <family val="2"/>
          </rPr>
          <t xml:space="preserve">[S1/S2] </t>
        </r>
        <r>
          <rPr>
            <sz val="10"/>
            <rFont val="Hiragino Maru Gothic Pro W4"/>
            <family val="2"/>
          </rPr>
          <t xml:space="preserve">現行月額。</t>
        </r>
        <r>
          <rPr>
            <sz val="10"/>
            <rFont val="Arial"/>
            <family val="2"/>
          </rPr>
          <t xml:space="preserve">[S3] </t>
        </r>
        <r>
          <rPr>
            <sz val="10"/>
            <rFont val="Hiragino Maru Gothic Pro W4"/>
            <family val="2"/>
          </rPr>
          <t xml:space="preserve">技術保守のみ未採用の仮説。</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38</xdr:colOff>
                <xdr:row>1</xdr:row>
                <xdr:rowOff>25</xdr:rowOff>
              </xdr:to>
            </anchor>
          </commentPr>
        </mc:Choice>
        <mc:Fallback/>
      </mc:AlternateContent>
    </comment>
    <comment ref="C8" authorId="0">
      <text>
        <r>
          <rPr>
            <sz val="10"/>
            <rFont val="Arial"/>
            <family val="2"/>
          </rPr>
          <t xml:space="preserve">[S1/S2] </t>
        </r>
        <r>
          <rPr>
            <sz val="10"/>
            <rFont val="Hiragino Maru Gothic Pro W4"/>
            <family val="2"/>
          </rPr>
          <t xml:space="preserve">現行月額。</t>
        </r>
        <r>
          <rPr>
            <sz val="10"/>
            <rFont val="Arial"/>
            <family val="2"/>
          </rPr>
          <t xml:space="preserve">[S3] </t>
        </r>
        <r>
          <rPr>
            <sz val="10"/>
            <rFont val="Hiragino Maru Gothic Pro W4"/>
            <family val="2"/>
          </rPr>
          <t xml:space="preserve">技術保守のみ未採用の仮説。</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38</xdr:colOff>
                <xdr:row>1</xdr:row>
                <xdr:rowOff>25</xdr:rowOff>
              </xdr:to>
            </anchor>
          </commentPr>
        </mc:Choice>
        <mc:Fallback/>
      </mc:AlternateContent>
    </comment>
    <comment ref="C9" authorId="0">
      <text>
        <r>
          <rPr>
            <sz val="10"/>
            <rFont val="Arial"/>
            <family val="2"/>
          </rPr>
          <t xml:space="preserve">[S1/S2] </t>
        </r>
        <r>
          <rPr>
            <sz val="10"/>
            <rFont val="Hiragino Maru Gothic Pro W4"/>
            <family val="2"/>
          </rPr>
          <t xml:space="preserve">現行月額。</t>
        </r>
        <r>
          <rPr>
            <sz val="10"/>
            <rFont val="Arial"/>
            <family val="2"/>
          </rPr>
          <t xml:space="preserve">[S3] </t>
        </r>
        <r>
          <rPr>
            <sz val="10"/>
            <rFont val="Hiragino Maru Gothic Pro W4"/>
            <family val="2"/>
          </rPr>
          <t xml:space="preserve">技術保守のみ未採用の仮説。</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38</xdr:colOff>
                <xdr:row>1</xdr:row>
                <xdr:rowOff>25</xdr:rowOff>
              </xdr:to>
            </anchor>
          </commentPr>
        </mc:Choice>
        <mc:Fallback/>
      </mc:AlternateContent>
    </comment>
    <comment ref="C10" authorId="0">
      <text>
        <r>
          <rPr>
            <sz val="10"/>
            <rFont val="Arial"/>
            <family val="2"/>
          </rPr>
          <t xml:space="preserve">[S1/S2] </t>
        </r>
        <r>
          <rPr>
            <sz val="10"/>
            <rFont val="Hiragino Maru Gothic Pro W4"/>
            <family val="2"/>
          </rPr>
          <t xml:space="preserve">現行月額。</t>
        </r>
        <r>
          <rPr>
            <sz val="10"/>
            <rFont val="Arial"/>
            <family val="2"/>
          </rPr>
          <t xml:space="preserve">[S3] </t>
        </r>
        <r>
          <rPr>
            <sz val="10"/>
            <rFont val="Hiragino Maru Gothic Pro W4"/>
            <family val="2"/>
          </rPr>
          <t xml:space="preserve">技術保守のみ未採用の仮説。</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38</xdr:colOff>
                <xdr:row>1</xdr:row>
                <xdr:rowOff>25</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紬</author>
  </authors>
  <commentList>
    <comment ref="C6"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 ref="C7"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 ref="C8"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 ref="C9"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 ref="C10"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 ref="C11"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 ref="C12"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 ref="C13" authorId="0">
      <text>
        <r>
          <rPr>
            <sz val="10"/>
            <rFont val="Arial"/>
            <family val="2"/>
          </rPr>
          <t xml:space="preserve">[S1] OPTIONS </t>
        </r>
        <r>
          <rPr>
            <sz val="10"/>
            <rFont val="Hiragino Maru Gothic Pro W4"/>
            <family val="2"/>
          </rPr>
          <t xml:space="preserve">の金額。撮影は </t>
        </r>
        <r>
          <rPr>
            <sz val="10"/>
            <rFont val="Arial"/>
            <family val="2"/>
          </rPr>
          <t xml:space="preserve">firm=false </t>
        </r>
        <r>
          <rPr>
            <sz val="10"/>
            <rFont val="Hiragino Maru Gothic Pro W4"/>
            <family val="2"/>
          </rPr>
          <t xml:space="preserve">の参考額。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-58</xdr:colOff>
                <xdr:row>1</xdr:row>
                <xdr:rowOff>25</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紬</author>
  </authors>
  <commentList>
    <comment ref="B6"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7"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8"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9"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0"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1"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C6"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C7"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C8"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C9"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C10"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C11"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D6"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D7"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D8"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D9"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D10"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D11"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E6"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E7"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E8"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E9"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E10"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E11" authorId="0">
      <text>
        <r>
          <rPr>
            <sz val="10"/>
            <rFont val="Hiragino Maru Gothic Pro W4"/>
            <family val="2"/>
          </rPr>
          <t xml:space="preserve">試算例。プランは一覧から選択。外部費は置換可。追加制作費は </t>
        </r>
        <r>
          <rPr>
            <sz val="10"/>
            <rFont val="Arial"/>
            <family val="2"/>
          </rPr>
          <t xml:space="preserve">0 </t>
        </r>
        <r>
          <rPr>
            <sz val="10"/>
            <rFont val="Hiragino Maru Gothic Pro W4"/>
            <family val="2"/>
          </rPr>
          <t xml:space="preserve">円を初期値とする。</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紬</author>
  </authors>
  <commentList>
    <comment ref="B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B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C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D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E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F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G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H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I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J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K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6"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7"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8"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9"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10"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11"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12"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13"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14"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 ref="L15" authorId="0">
      <text>
        <r>
          <rPr>
            <sz val="10"/>
            <rFont val="Arial"/>
            <family val="2"/>
          </rPr>
          <t xml:space="preserve">[S3/S4] </t>
        </r>
        <r>
          <rPr>
            <sz val="10"/>
            <rFont val="Hiragino Maru Gothic Pro W4"/>
            <family val="2"/>
          </rPr>
          <t xml:space="preserve">仮定の案件数・支援社数。実際の契約ではない。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1</xdr:row>
                <xdr:rowOff>25</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紬</author>
  </authors>
  <commentList>
    <comment ref="B6" authorId="0">
      <text>
        <r>
          <rPr>
            <sz val="10"/>
            <rFont val="Arial"/>
            <family val="2"/>
          </rPr>
          <t xml:space="preserve">[S1] </t>
        </r>
        <r>
          <rPr>
            <sz val="10"/>
            <rFont val="Hiragino Maru Gothic Pro W4"/>
            <family val="2"/>
          </rPr>
          <t xml:space="preserve">料金表示の税率</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7" authorId="0">
      <text>
        <r>
          <rPr>
            <sz val="10"/>
            <rFont val="Hiragino Maru Gothic Pro W4"/>
            <family val="2"/>
          </rPr>
          <t xml:space="preserve">ユーザー指定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8" authorId="0">
      <text>
        <r>
          <rPr>
            <sz val="10"/>
            <rFont val="Arial"/>
            <family val="2"/>
          </rPr>
          <t xml:space="preserve">[S4] </t>
        </r>
        <r>
          <rPr>
            <sz val="10"/>
            <rFont val="Hiragino Maru Gothic Pro W4"/>
            <family val="2"/>
          </rPr>
          <t xml:space="preserve">既存の仮定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9" authorId="0">
      <text>
        <r>
          <rPr>
            <sz val="10"/>
            <rFont val="Arial"/>
            <family val="2"/>
          </rPr>
          <t xml:space="preserve">[S4] </t>
        </r>
        <r>
          <rPr>
            <sz val="10"/>
            <rFont val="Hiragino Maru Gothic Pro W4"/>
            <family val="2"/>
          </rPr>
          <t xml:space="preserve">既存の仮定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0" authorId="0">
      <text>
        <r>
          <rPr>
            <sz val="10"/>
            <rFont val="Arial"/>
            <family val="2"/>
          </rPr>
          <t xml:space="preserve">[S4] </t>
        </r>
        <r>
          <rPr>
            <sz val="10"/>
            <rFont val="Hiragino Maru Gothic Pro W4"/>
            <family val="2"/>
          </rPr>
          <t xml:space="preserve">機会費用の仮定。現金支出ではない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1" authorId="0">
      <text>
        <r>
          <rPr>
            <sz val="10"/>
            <rFont val="Arial"/>
            <family val="2"/>
          </rPr>
          <t xml:space="preserve">[S4] </t>
        </r>
        <r>
          <rPr>
            <sz val="10"/>
            <rFont val="Hiragino Maru Gothic Pro W4"/>
            <family val="2"/>
          </rPr>
          <t xml:space="preserve">既存の仮定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2" authorId="0">
      <text>
        <r>
          <rPr>
            <sz val="10"/>
            <rFont val="Arial"/>
            <family val="2"/>
          </rPr>
          <t xml:space="preserve">[S4] </t>
        </r>
        <r>
          <rPr>
            <sz val="10"/>
            <rFont val="Hiragino Maru Gothic Pro W4"/>
            <family val="2"/>
          </rPr>
          <t xml:space="preserve">保守的な試算用。銀行振込実績ではない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3" authorId="0">
      <text>
        <r>
          <rPr>
            <sz val="10"/>
            <rFont val="Arial"/>
            <family val="2"/>
          </rPr>
          <t xml:space="preserve">[S3] 25% </t>
        </r>
        <r>
          <rPr>
            <sz val="10"/>
            <rFont val="Hiragino Maru Gothic Pro W4"/>
            <family val="2"/>
          </rPr>
          <t xml:space="preserve">の工数超過ストレス</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4" authorId="0">
      <text>
        <r>
          <rPr>
            <sz val="10"/>
            <rFont val="Arial"/>
            <family val="2"/>
          </rPr>
          <t xml:space="preserve">[S3] </t>
        </r>
        <r>
          <rPr>
            <sz val="10"/>
            <rFont val="Hiragino Maru Gothic Pro W4"/>
            <family val="2"/>
          </rPr>
          <t xml:space="preserve">価格点検用の仮置き</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5" authorId="0">
      <text>
        <r>
          <rPr>
            <sz val="10"/>
            <rFont val="Arial"/>
            <family val="2"/>
          </rPr>
          <t xml:space="preserve">[S1] </t>
        </r>
        <r>
          <rPr>
            <sz val="10"/>
            <rFont val="Hiragino Maru Gothic Pro W4"/>
            <family val="2"/>
          </rPr>
          <t xml:space="preserve">顧客直接払い。固定料金の保証ではない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6" authorId="0">
      <text>
        <r>
          <rPr>
            <sz val="10"/>
            <rFont val="Arial"/>
            <family val="2"/>
          </rPr>
          <t xml:space="preserve">[S3] microCMS Team </t>
        </r>
        <r>
          <rPr>
            <sz val="10"/>
            <rFont val="Hiragino Maru Gothic Pro W4"/>
            <family val="2"/>
          </rPr>
          <t xml:space="preserve">参考・</t>
        </r>
        <r>
          <rPr>
            <sz val="10"/>
            <rFont val="Arial"/>
            <family val="2"/>
          </rPr>
          <t xml:space="preserve">2026-09-17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7" authorId="0">
      <text>
        <r>
          <rPr>
            <sz val="10"/>
            <rFont val="Arial"/>
            <family val="2"/>
          </rPr>
          <t xml:space="preserve">[S3] </t>
        </r>
        <r>
          <rPr>
            <sz val="10"/>
            <rFont val="Hiragino Maru Gothic Pro W4"/>
            <family val="2"/>
          </rPr>
          <t xml:space="preserve">未採用の計算用仮定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8" authorId="0">
      <text>
        <r>
          <rPr>
            <sz val="10"/>
            <rFont val="Arial"/>
            <family val="2"/>
          </rPr>
          <t xml:space="preserve">[S3] </t>
        </r>
        <r>
          <rPr>
            <sz val="10"/>
            <rFont val="Hiragino Maru Gothic Pro W4"/>
            <family val="2"/>
          </rPr>
          <t xml:space="preserve">同時ストレス用。</t>
        </r>
        <r>
          <rPr>
            <sz val="10"/>
            <rFont val="Arial"/>
            <family val="2"/>
          </rPr>
          <t xml:space="preserve">30 </t>
        </r>
        <r>
          <rPr>
            <sz val="10"/>
            <rFont val="Hiragino Maru Gothic Pro W4"/>
            <family val="2"/>
          </rPr>
          <t xml:space="preserve">分</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19" authorId="0">
      <text>
        <r>
          <rPr>
            <sz val="10"/>
            <rFont val="Arial"/>
            <family val="2"/>
          </rPr>
          <t xml:space="preserve">[S3] </t>
        </r>
        <r>
          <rPr>
            <sz val="10"/>
            <rFont val="Hiragino Maru Gothic Pro W4"/>
            <family val="2"/>
          </rPr>
          <t xml:space="preserve">顧客価値の試算用仮定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20" authorId="0">
      <text>
        <r>
          <rPr>
            <sz val="10"/>
            <rFont val="Arial"/>
            <family val="2"/>
          </rPr>
          <t xml:space="preserve">[S3] </t>
        </r>
        <r>
          <rPr>
            <sz val="10"/>
            <rFont val="Hiragino Maru Gothic Pro W4"/>
            <family val="2"/>
          </rPr>
          <t xml:space="preserve">同一設計の開発への充当案</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B24" authorId="0">
      <text>
        <r>
          <rPr>
            <sz val="10"/>
            <rFont val="Arial"/>
            <family val="2"/>
          </rPr>
          <t xml:space="preserve">1 </t>
        </r>
        <r>
          <rPr>
            <sz val="10"/>
            <rFont val="Hiragino Maru Gothic Pro W4"/>
            <family val="2"/>
          </rPr>
          <t xml:space="preserve">年＝</t>
        </r>
        <r>
          <rPr>
            <sz val="10"/>
            <rFont val="Arial"/>
            <family val="2"/>
          </rPr>
          <t xml:space="preserve">12 </t>
        </r>
        <r>
          <rPr>
            <sz val="10"/>
            <rFont val="Hiragino Maru Gothic Pro W4"/>
            <family val="2"/>
          </rPr>
          <t xml:space="preserve">か月。期間換算。</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F33" authorId="0">
      <text>
        <r>
          <rPr>
            <sz val="10"/>
            <rFont val="Arial"/>
            <family val="2"/>
          </rPr>
          <t xml:space="preserve">[S3] </t>
        </r>
        <r>
          <rPr>
            <sz val="10"/>
            <rFont val="Hiragino Maru Gothic Pro W4"/>
            <family val="2"/>
          </rPr>
          <t xml:space="preserve">旧案の比較価格。現行・提案プランとして販売しない。</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28"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29"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0"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1"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2"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3"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4"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5"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8"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39"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40"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G41"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28"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29"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0"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1"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2"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3"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4"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5" authorId="0">
      <text>
        <r>
          <rPr>
            <sz val="10"/>
            <rFont val="Arial"/>
            <family val="2"/>
          </rPr>
          <t xml:space="preserve">[S3/S4] </t>
        </r>
        <r>
          <rPr>
            <sz val="10"/>
            <rFont val="Hiragino Maru Gothic Pro W4"/>
            <family val="2"/>
          </rPr>
          <t xml:space="preserve">未検証の経営仮定。</t>
        </r>
        <r>
          <rPr>
            <sz val="10"/>
            <rFont val="Arial"/>
            <family val="2"/>
          </rPr>
          <t xml:space="preserve">G </t>
        </r>
        <r>
          <rPr>
            <sz val="10"/>
            <rFont val="Hiragino Maru Gothic Pro W4"/>
            <family val="2"/>
          </rPr>
          <t xml:space="preserve">は獲得費を含む現金費（決済費・本人時間を除く）。</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8"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39"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40"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 ref="H41" authorId="0">
      <text>
        <r>
          <rPr>
            <sz val="10"/>
            <rFont val="Arial"/>
            <family val="2"/>
          </rPr>
          <t xml:space="preserve">[S4] </t>
        </r>
        <r>
          <rPr>
            <sz val="10"/>
            <rFont val="Hiragino Maru Gothic Pro W4"/>
            <family val="2"/>
          </rPr>
          <t xml:space="preserve">社内総工数と現金変動費の仮定。</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xdr:colOff>
                <xdr:row>1</xdr:row>
                <xdr:rowOff>25</xdr:rowOff>
              </xdr:to>
            </anchor>
          </commentPr>
        </mc:Choice>
        <mc:Fallback/>
      </mc:AlternateContent>
    </comment>
  </commentList>
</comments>
</file>

<file path=xl/sharedStrings.xml><?xml version="1.0" encoding="utf-8"?>
<sst xmlns="http://schemas.openxmlformats.org/spreadsheetml/2006/main" count="458" uniqueCount="314">
  <si>
    <t xml:space="preserve">紬｜全プラン比較・料金試算</t>
  </si>
  <si>
    <t xml:space="preserve">2026-09-17 版　制作・月額・追加オプション・上位検討案を 1 冊に。現行価格の写しであり、このファイルを変えても公開料金は変わりません。</t>
  </si>
  <si>
    <t xml:space="preserve">プラン</t>
  </si>
  <si>
    <t xml:space="preserve">区分</t>
  </si>
  <si>
    <t xml:space="preserve">状態</t>
  </si>
  <si>
    <t xml:space="preserve">税別（円）</t>
  </si>
  <si>
    <t xml:space="preserve">税込（円）</t>
  </si>
  <si>
    <t xml:space="preserve">要点</t>
  </si>
  <si>
    <t xml:space="preserve">制作／設計</t>
  </si>
  <si>
    <t xml:space="preserve">1 ページ・既存構成・支給素材</t>
  </si>
  <si>
    <t xml:space="preserve">最大 6 ページ・事業情報の整理</t>
  </si>
  <si>
    <t xml:space="preserve">最大 9 ページ・自己更新（準備中）</t>
  </si>
  <si>
    <t xml:space="preserve">個別設計が必要な CMS の見積例</t>
  </si>
  <si>
    <t xml:space="preserve">単一業務の機能開発。設計費を含む</t>
  </si>
  <si>
    <t xml:space="preserve">開発前の有料設計。条件付きで総額に充当</t>
  </si>
  <si>
    <t xml:space="preserve">月額</t>
  </si>
  <si>
    <t xml:space="preserve">紬への月額なし。外部費と管理は顧客負担</t>
  </si>
  <si>
    <t xml:space="preserve">保守のみ。通常変更なし</t>
  </si>
  <si>
    <t xml:space="preserve">月 30 分の変更＋保守</t>
  </si>
  <si>
    <t xml:space="preserve">月 90 分の改善＋30 分の打合せ＋保守</t>
  </si>
  <si>
    <t xml:space="preserve">独自機能向け。既存「育てる」とは別内容</t>
  </si>
  <si>
    <t xml:space="preserve">読み方：現行＝現行料金定義／受付準備中＝提供検証前／検討案＝未採用。黄色・青文字は入力、黒文字は計算、緑文字は別シート参照。税別が基本で、0 円も省略せず表示。</t>
  </si>
  <si>
    <t xml:space="preserve">まず「01 制作」「02 月額」「03 追加」で内容を比較。「04 総額」で支払総額を試算。「05〜07」は経営検討用です。営業先への送付時は、未採用案と社内採算の扱いを確認してください。</t>
  </si>
  <si>
    <t xml:space="preserve">→ 01 制作プラン</t>
  </si>
  <si>
    <t xml:space="preserve">制作 6 項目（現行・準備中・検討案）</t>
  </si>
  <si>
    <t xml:space="preserve">→ 02 月額サポート</t>
  </si>
  <si>
    <t xml:space="preserve">月額 5 項目（現行・検討案）</t>
  </si>
  <si>
    <t xml:space="preserve">→ 03 追加オプション</t>
  </si>
  <si>
    <t xml:space="preserve">現行オプション 8 項目</t>
  </si>
  <si>
    <t xml:space="preserve">→ 04 総額シミュレーター</t>
  </si>
  <si>
    <t xml:space="preserve">入力例 6 ケース。プラン・月額・外部費を変更可</t>
  </si>
  <si>
    <t xml:space="preserve">→ 05 月次採算</t>
  </si>
  <si>
    <t xml:space="preserve">10 ケースの採算と工数超過チェック</t>
  </si>
  <si>
    <t xml:space="preserve">→ 06 受注構成</t>
  </si>
  <si>
    <t xml:space="preserve">月の受注件数・支援社数を編集</t>
  </si>
  <si>
    <t xml:space="preserve">→ 07 計算前提</t>
  </si>
  <si>
    <t xml:space="preserve">税率・工数・原価・現金費の入力</t>
  </si>
  <si>
    <t xml:space="preserve">→ 08 条件と出典</t>
  </si>
  <si>
    <t xml:space="preserve">販売条件と確認元</t>
  </si>
  <si>
    <t xml:space="preserve">制作プラン｜現行と検討案</t>
  </si>
  <si>
    <t xml:space="preserve">税別／税込を併記。黄色セルは試算用入力。398,000 円の CMS は受付準備中。金額を編集してもサイトは変わりません。</t>
  </si>
  <si>
    <t xml:space="preserve">規模・方式</t>
  </si>
  <si>
    <t xml:space="preserve">含む内容</t>
  </si>
  <si>
    <t xml:space="preserve">含まない内容・境界</t>
  </si>
  <si>
    <t xml:space="preserve">期間・確認</t>
  </si>
  <si>
    <t xml:space="preserve">根拠</t>
  </si>
  <si>
    <t xml:space="preserve">入口をつくる</t>
  </si>
  <si>
    <t xml:space="preserve">現行</t>
  </si>
  <si>
    <t xml:space="preserve">最大 1 ページ
React / TypeScript / Next.js を用いた制作</t>
  </si>
  <si>
    <t xml:space="preserve">顧客名義のドメイン・契約先の設定（実費別）
スマートフォン対応・常時 SSL
30 分の聞き取りと支給素材からの原稿整理
支給写真の調整・配置
連絡先・既存予約先への導線
ソースコード一式の納品</t>
  </si>
  <si>
    <t xml:space="preserve">出張撮影・取材記事・新しい機能の開発
更新管理画面・月次の保守や変更作業</t>
  </si>
  <si>
    <t xml:space="preserve">2 週間目安
確認 1 回</t>
  </si>
  <si>
    <t xml:space="preserve">[S1] 価格データ
[S2] 公開文言</t>
  </si>
  <si>
    <t xml:space="preserve">事業の土台をつくる</t>
  </si>
  <si>
    <t xml:space="preserve">最大 6 ページ
React / TypeScript / Next.js を用いた制作</t>
  </si>
  <si>
    <t xml:space="preserve">顧客名義のドメイン・契約先の設定（実費別）
スマートフォン対応・常時 SSL
60 分の聞き取りと全ページの原稿整理
サービス・料金・信頼情報の構成設計
合意した納品仕様の検証レポート
問い合わせ導線の設定（受付先は提供確認後）
ソースコード一式の納品</t>
  </si>
  <si>
    <t xml:space="preserve">撮影・ロゴ・独自機能等は別途。CMS の具体的な商品化条件は検討案を参照。</t>
  </si>
  <si>
    <t xml:space="preserve">4 週間目安
確認 2 回</t>
  </si>
  <si>
    <t xml:space="preserve">情報を育てる</t>
  </si>
  <si>
    <t xml:space="preserve">受付準備中</t>
  </si>
  <si>
    <t xml:space="preserve">最大 9 ページ
React / TypeScript / Next.js を用いた制作</t>
  </si>
  <si>
    <t xml:space="preserve">事業の土台をつくる内容を含む
更新管理画面（準備中）
最大 9 ページ・確認 2 回
記事・事例の標準テンプレート（準備中）
初期登録 3 件（支給素材から作成）
更新操作の説明</t>
  </si>
  <si>
    <t xml:space="preserve">6 週間目安
確認 2 回</t>
  </si>
  <si>
    <t xml:space="preserve">個別設計 CMS</t>
  </si>
  <si>
    <t xml:space="preserve">検討案・見積例</t>
  </si>
  <si>
    <t xml:space="preserve">個別 CMS／36 時間仮定</t>
  </si>
  <si>
    <t xml:space="preserve">専用の情報設計・主要画面デザイン。公開サイト＋2 種の投稿。</t>
  </si>
  <si>
    <t xml:space="preserve">多言語・特殊移行・追加連携は別途。固定の第 4 商品にしない。</t>
  </si>
  <si>
    <t xml:space="preserve">個別見積もり</t>
  </si>
  <si>
    <t xml:space="preserve">[S3] 上位商品設計</t>
  </si>
  <si>
    <t xml:space="preserve">独自の仕組みをつくる</t>
  </si>
  <si>
    <t xml:space="preserve">検討案・下限仮説</t>
  </si>
  <si>
    <t xml:space="preserve">1 事業・1 業務／50 時間仮定</t>
  </si>
  <si>
    <t xml:space="preserve">条件検索・概算計算など、合意した単一業務の機能。設計 55,000 円分を含む。</t>
  </si>
  <si>
    <t xml:space="preserve">会員・決済・返金・複雑な権限・リアルタイム予約等は定型対象外。</t>
  </si>
  <si>
    <t xml:space="preserve">有料設計後に確定</t>
  </si>
  <si>
    <t xml:space="preserve">機能設計</t>
  </si>
  <si>
    <t xml:space="preserve">検討案</t>
  </si>
  <si>
    <t xml:space="preserve">1 業務／合計 3 時間以内</t>
  </si>
  <si>
    <t xml:space="preserve">聞き取り、処理の図、代替手段の検討、完成条件、費用見積もり。</t>
  </si>
  <si>
    <t xml:space="preserve">実装・全画面の詳細デザインは含まない。実装発注の義務なし。</t>
  </si>
  <si>
    <t xml:space="preserve">同一設計で 60 日以内の開発契約なら総額に充当する案</t>
  </si>
  <si>
    <t xml:space="preserve">398,000 円の検討範囲：共通構成・最大 9 種類の画面、投稿 2 種まで、初期登録 3 件、説明 60 分以内、確認 2 回、公開後確認 30 分。完全自由設計ではなく、提供検証後に受付開始。</t>
  </si>
  <si>
    <t xml:space="preserve">既存の制作方式も React / TypeScript / Next.js。上位だけを「良いコード」とは扱わず、自己更新・固有機能・運用の違いで価格を分けます。ソース一式の引き継ぎは現行全プランの共通条件。</t>
  </si>
  <si>
    <t xml:space="preserve">月額サポート｜任意で選ぶ</t>
  </si>
  <si>
    <t xml:space="preserve">自己管理は紬への月額 0 円。ドメイン・ホスティング・CMS 等の外部費は別途。作業枠と社内原価工数を混同しません。</t>
  </si>
  <si>
    <t xml:space="preserve">月額税別（円）</t>
  </si>
  <si>
    <t xml:space="preserve">月額税込（円）</t>
  </si>
  <si>
    <t xml:space="preserve">作業枠</t>
  </si>
  <si>
    <t xml:space="preserve">打合せ</t>
  </si>
  <si>
    <t xml:space="preserve">対象外・条件</t>
  </si>
  <si>
    <t xml:space="preserve">自分で管理</t>
  </si>
  <si>
    <t xml:space="preserve">通常の変更作業なし</t>
  </si>
  <si>
    <t xml:space="preserve">定例会議なし</t>
  </si>
  <si>
    <t xml:space="preserve">納品時の引継ぎ資料
月次監視・変更作業・継続相談は含みません</t>
  </si>
  <si>
    <t xml:space="preserve">月次監視・変更・継続相談なし。顧客自身で運用。</t>
  </si>
  <si>
    <t xml:space="preserve">守る</t>
  </si>
  <si>
    <t xml:space="preserve">定型監視・期限管理（外部サービス実費別）
週次バックアップの確認
障害時の一次切り分け（営業時間内）
通常の変更・投稿・会議は対象外</t>
  </si>
  <si>
    <t xml:space="preserve">外部費別途。通常変更は別依頼。</t>
  </si>
  <si>
    <t xml:space="preserve">整える</t>
  </si>
  <si>
    <t xml:space="preserve">30 分／月</t>
  </si>
  <si>
    <t xml:space="preserve">「守る」の内容を含む
月 30 分の変更作業
作業履歴と使用時間の共有
枠を超える前に翌月対応か追加見積もりを選択</t>
  </si>
  <si>
    <t xml:space="preserve">1 か月単位。未使用枠の繰越なし。超過前に翌月対応または追加見積もり。</t>
  </si>
  <si>
    <t xml:space="preserve">育てる</t>
  </si>
  <si>
    <t xml:space="preserve">90 分／月</t>
  </si>
  <si>
    <t xml:space="preserve">「守る」の内容を含む
月 90 分の改善作業
月 30 分の打合せ
施策 1 件の確認記録
作業枠を資料・フォーム・既存 SaaS 設定にも利用可
広告費・撮影・独自開発・記事の量産は対象外</t>
  </si>
  <si>
    <t xml:space="preserve">技術保守（独自機能）</t>
  </si>
  <si>
    <t xml:space="preserve">合計 2 時間／月を仮定</t>
  </si>
  <si>
    <t xml:space="preserve">上記合計枠に含む案</t>
  </si>
  <si>
    <t xml:space="preserve">監視確認・定型の依存更新と検証・バックアップ確認等。</t>
  </si>
  <si>
    <t xml:space="preserve">既存「育てる」と内容は異なる。二重課金しない。緊急対応・大規模復旧・24 時間有人対応は別途設計。</t>
  </si>
  <si>
    <t xml:space="preserve">通常の変更枠は「整える」30 分、「育てる」90 分。5 分単位で月の実作業を合算し、依頼ごとの切り上げや超過の自動課金は行いません。</t>
  </si>
  <si>
    <t xml:space="preserve">支援終了を理由にサイトを削除しません。外部契約の継続と日々の運用は必要です。仕様不適合の修補を有料の変更作業に付け替えません。</t>
  </si>
  <si>
    <t xml:space="preserve">追加オプション｜現行の全 8 項目</t>
  </si>
  <si>
    <t xml:space="preserve">金額は制作プランへの追加費用。撮影は参考額で、移動・編集・調整を含む総額を着手前に確定します。</t>
  </si>
  <si>
    <t xml:space="preserve">オプション</t>
  </si>
  <si>
    <t xml:space="preserve">状態・価格区分</t>
  </si>
  <si>
    <t xml:space="preserve">対象・条件</t>
  </si>
  <si>
    <t xml:space="preserve">含まれない費用／注意</t>
  </si>
  <si>
    <t xml:space="preserve">出典</t>
  </si>
  <si>
    <t xml:space="preserve">ページ追加（既存構成にないもの）</t>
  </si>
  <si>
    <t xml:space="preserve">現行・定額</t>
  </si>
  <si>
    <t xml:space="preserve">原稿・写真の聞き取り込み</t>
  </si>
  <si>
    <t xml:space="preserve">成果物・回数・納期などの範囲は着手前に確定。</t>
  </si>
  <si>
    <t xml:space="preserve">[S1/S2]</t>
  </si>
  <si>
    <t xml:space="preserve">出張撮影 半日（別見積もり）</t>
  </si>
  <si>
    <t xml:space="preserve">現行・別見積参考額</t>
  </si>
  <si>
    <t xml:space="preserve">移動・編集・調整を含め、着手前に総額を確定</t>
  </si>
  <si>
    <t xml:space="preserve">出張撮影 1 日（別見積もり）</t>
  </si>
  <si>
    <t xml:space="preserve">ロゴ制作（3 案・使用ルール付き）</t>
  </si>
  <si>
    <t xml:space="preserve">詳細は契約前に合意</t>
  </si>
  <si>
    <t xml:space="preserve">記事の作成（取材あり）</t>
  </si>
  <si>
    <t xml:space="preserve">月次枠で完結しない記事制作は別見積もり</t>
  </si>
  <si>
    <t xml:space="preserve">ランディングページ 1 枚</t>
  </si>
  <si>
    <t xml:space="preserve">キャンペーン・単一商品向け</t>
  </si>
  <si>
    <t xml:space="preserve">予約システムの連携</t>
  </si>
  <si>
    <t xml:space="preserve">月額はお客様が直接ご契約（当方は設定費のみ）</t>
  </si>
  <si>
    <t xml:space="preserve">外部予約サービスの月額は顧客直接契約。独自の予約機能開発ではありません。</t>
  </si>
  <si>
    <t xml:space="preserve">多言語対応 1 言語（10 ページ以下）</t>
  </si>
  <si>
    <t xml:space="preserve">デザイン全面変更、他社サイトからの移管、新規の独自機能等は都度見積もり。未設定の料金を 0 円として扱いません。</t>
  </si>
  <si>
    <t xml:space="preserve">総額シミュレーター｜保守なしも比較</t>
  </si>
  <si>
    <t xml:space="preserve">例を入力済み。B〜E 列の黄色セルを変更すると総額が再計算されます。1 年・3 年は公開後の月数。外部費は顧客直接払いの概算。</t>
  </si>
  <si>
    <t xml:space="preserve">ケース</t>
  </si>
  <si>
    <t xml:space="preserve">制作プラン</t>
  </si>
  <si>
    <t xml:space="preserve">月額サポート</t>
  </si>
  <si>
    <t xml:space="preserve">外部費／月
税別（円）</t>
  </si>
  <si>
    <t xml:space="preserve">追加制作費
税別（円）</t>
  </si>
  <si>
    <t xml:space="preserve">初期費
税別（円）</t>
  </si>
  <si>
    <t xml:space="preserve">継続費／月
税別（円）</t>
  </si>
  <si>
    <t xml:space="preserve">1 年総額
税別（円）</t>
  </si>
  <si>
    <t xml:space="preserve">3 年総額
税別（円）</t>
  </si>
  <si>
    <t xml:space="preserve">3 年総額
税込概算（円）</t>
  </si>
  <si>
    <t xml:space="preserve">1 ページ・自己管理</t>
  </si>
  <si>
    <t xml:space="preserve">土台・自己管理</t>
  </si>
  <si>
    <t xml:space="preserve">CMS・無料 CMS 枠</t>
  </si>
  <si>
    <t xml:space="preserve">CMS・有料 CMS 枠</t>
  </si>
  <si>
    <t xml:space="preserve">独自機能・自己管理</t>
  </si>
  <si>
    <t xml:space="preserve">独自機能・技術保守</t>
  </si>
  <si>
    <t xml:space="preserve">外部費に含める契約・為替・座席・従量を個別確認してください。税込欄は全費用へ同一税率を適用した概算で、海外請求等の実際の税処理を確定するものではありません。顧客の自己管理時間は表外。</t>
  </si>
  <si>
    <t xml:space="preserve">CMS・独自機能・技術保守には準備中／検討案が含まれます。組合せ選択は提供可否を保証しません。898,000 円の開発初期費には機能設計 55,000 円が含まれる案のため、E 列へ重ねて加算しません。</t>
  </si>
  <si>
    <t xml:space="preserve">月次採算｜本人の全 140 時間も評価</t>
  </si>
  <si>
    <t xml:space="preserve">受注構成・価格・前提を変えると再計算。余力は税引後利益ではありません。獲得費と決済費を含め、本人時間は全時間分を一度だけ控除。</t>
  </si>
  <si>
    <t xml:space="preserve">売上（円）</t>
  </si>
  <si>
    <t xml:space="preserve">うち月額（円）</t>
  </si>
  <si>
    <t xml:space="preserve">制作・支援
時間</t>
  </si>
  <si>
    <t xml:space="preserve">現金変動費
決済費含む（円）</t>
  </si>
  <si>
    <t xml:space="preserve">本人時間控除前
余力（円）</t>
  </si>
  <si>
    <t xml:space="preserve">全時間控除後
余力（円）</t>
  </si>
  <si>
    <t xml:space="preserve">25% 増の
時間</t>
  </si>
  <si>
    <t xml:space="preserve">複合ストレス
時間</t>
  </si>
  <si>
    <t xml:space="preserve">複合ストレス
判定</t>
  </si>
  <si>
    <t xml:space="preserve">容量内でも受注できるとは限りません。営業・原稿待ち・検収遅延・月額解約・税・必要な生活費を別に確認。容量超過を外注で解消する追加費用は未計上です。旧案は比較用で販売プランではありません。</t>
  </si>
  <si>
    <t xml:space="preserve">受注構成｜月の件数を編集</t>
  </si>
  <si>
    <t xml:space="preserve">黄色セル＝月に売上計上する案件数・有料支援の契約社数。旧案は比較専用。ここは定常月の試算で、入金予定表ではありません。</t>
  </si>
  <si>
    <t xml:space="preserve">標準 CMS（26 時間）</t>
  </si>
  <si>
    <t xml:space="preserve">旧案 CMS（30 時間）</t>
  </si>
  <si>
    <t xml:space="preserve">旧案の独自機能（698,000 円）</t>
  </si>
  <si>
    <t xml:space="preserve">機能設計のみ</t>
  </si>
  <si>
    <t xml:space="preserve">守る（社）</t>
  </si>
  <si>
    <t xml:space="preserve">整える（社）</t>
  </si>
  <si>
    <t xml:space="preserve">育てる（社）</t>
  </si>
  <si>
    <t xml:space="preserve">土台 1 件のみ</t>
  </si>
  <si>
    <t xml:space="preserve">旧案 CMS 2 件・各 30 時間</t>
  </si>
  <si>
    <t xml:space="preserve">CMS 2 件・各 26 時間</t>
  </si>
  <si>
    <t xml:space="preserve">CMS 2 件＋土台 1 件</t>
  </si>
  <si>
    <t xml:space="preserve">CMS 2 件＋整える 10 社＋育てる 3 社</t>
  </si>
  <si>
    <t xml:space="preserve">旧案開発 1 件＋土台 1 件</t>
  </si>
  <si>
    <t xml:space="preserve">独自機能 1 件＋土台 1 件</t>
  </si>
  <si>
    <t xml:space="preserve">独自機能 1 件のみ</t>
  </si>
  <si>
    <t xml:space="preserve">入口 12 件</t>
  </si>
  <si>
    <t xml:space="preserve">既存モデルの受注構成</t>
  </si>
  <si>
    <t xml:space="preserve">開発価格には同じ案件の有料設計を含むため、同じ案件を「独自機能」と「機能設計のみ」に重複計上しないでください。「機能設計のみ」は開発へ進まなかった単独受注を想定。</t>
  </si>
  <si>
    <t xml:space="preserve">計算前提｜試算用の入力を中央管理</t>
  </si>
  <si>
    <t xml:space="preserve">青文字・黄色＝編集する仮定／黒＝計算式／緑＝別シート参照。実績ではありません。月 140 時間以外の経営値は既存モデル・検討案。</t>
  </si>
  <si>
    <t xml:space="preserve">前提</t>
  </si>
  <si>
    <t xml:space="preserve">値</t>
  </si>
  <si>
    <t xml:space="preserve">単位</t>
  </si>
  <si>
    <t xml:space="preserve">根拠・解釈</t>
  </si>
  <si>
    <t xml:space="preserve">備考</t>
  </si>
  <si>
    <t xml:space="preserve">価格／月額</t>
  </si>
  <si>
    <t xml:space="preserve">現金変動費</t>
  </si>
  <si>
    <t xml:space="preserve">工数</t>
  </si>
  <si>
    <t xml:space="preserve">案件貢献額</t>
  </si>
  <si>
    <t xml:space="preserve">案件貢献率</t>
  </si>
  <si>
    <t xml:space="preserve">配賦による点検価格</t>
  </si>
  <si>
    <t xml:space="preserve">税率</t>
  </si>
  <si>
    <t xml:space="preserve">率</t>
  </si>
  <si>
    <t xml:space="preserve">[S1] 料金表示の税率</t>
  </si>
  <si>
    <t xml:space="preserve">月の全稼働時間</t>
  </si>
  <si>
    <t xml:space="preserve">時間</t>
  </si>
  <si>
    <t xml:space="preserve">ユーザー指定</t>
  </si>
  <si>
    <t xml:space="preserve">営業・事務</t>
  </si>
  <si>
    <t xml:space="preserve">時間／月</t>
  </si>
  <si>
    <t xml:space="preserve">[S4] 既存の仮定</t>
  </si>
  <si>
    <t xml:space="preserve">予備</t>
  </si>
  <si>
    <t xml:space="preserve">本人の時間原価</t>
  </si>
  <si>
    <t xml:space="preserve">円／時間</t>
  </si>
  <si>
    <t xml:space="preserve">[S4] 機会費用の仮定。現金支出ではない</t>
  </si>
  <si>
    <t xml:space="preserve">固定費</t>
  </si>
  <si>
    <t xml:space="preserve">円／月</t>
  </si>
  <si>
    <t xml:space="preserve">決済費率</t>
  </si>
  <si>
    <t xml:space="preserve">[S4] 保守的な試算用。銀行振込実績ではない</t>
  </si>
  <si>
    <t xml:space="preserve">工数増の倍率</t>
  </si>
  <si>
    <t xml:space="preserve">倍</t>
  </si>
  <si>
    <t xml:space="preserve">[S3] 25% の工数超過ストレス</t>
  </si>
  <si>
    <t xml:space="preserve">全体余力の目標率</t>
  </si>
  <si>
    <t xml:space="preserve">[S3] 価格点検用の仮置き</t>
  </si>
  <si>
    <t xml:space="preserve">外部費の標準概算</t>
  </si>
  <si>
    <t xml:space="preserve">円／月・税別</t>
  </si>
  <si>
    <t xml:space="preserve">[S1] 顧客直接払い。固定料金の保証ではない</t>
  </si>
  <si>
    <t xml:space="preserve">有料 CMS の追加概算</t>
  </si>
  <si>
    <t xml:space="preserve">[S3] microCMS Team 参考・2026-09-17</t>
  </si>
  <si>
    <t xml:space="preserve">独自機能の外部費概算</t>
  </si>
  <si>
    <t xml:space="preserve">[S3] 未採用の計算用仮定</t>
  </si>
  <si>
    <t xml:space="preserve">支援 1 社の追加時間</t>
  </si>
  <si>
    <t xml:space="preserve">[S3] 同時ストレス用。30 分</t>
  </si>
  <si>
    <t xml:space="preserve">機能開発の回収期間</t>
  </si>
  <si>
    <t xml:space="preserve">か月</t>
  </si>
  <si>
    <t xml:space="preserve">[S3] 顧客価値の試算用仮定</t>
  </si>
  <si>
    <t xml:space="preserve">設計費充当の期限</t>
  </si>
  <si>
    <t xml:space="preserve">日</t>
  </si>
  <si>
    <t xml:space="preserve">[S3] 同一設計の開発への充当案</t>
  </si>
  <si>
    <t xml:space="preserve">制作・支援の契約可能枠</t>
  </si>
  <si>
    <t xml:space="preserve">全時間から営業・事務と予備を控除</t>
  </si>
  <si>
    <t xml:space="preserve">通常予約の上限</t>
  </si>
  <si>
    <t xml:space="preserve">工数増を契約枠内で吸収する目安</t>
  </si>
  <si>
    <t xml:space="preserve">月の全時間・固定費原価</t>
  </si>
  <si>
    <t xml:space="preserve">本人の全時間を一度だけ評価</t>
  </si>
  <si>
    <t xml:space="preserve">1 年の月数</t>
  </si>
  <si>
    <t xml:space="preserve">総額の期間換算</t>
  </si>
  <si>
    <t xml:space="preserve">通常予約 1 時間の配賦原価</t>
  </si>
  <si>
    <t xml:space="preserve">点検用。月次採算では再度控除しない</t>
  </si>
  <si>
    <t xml:space="preserve">試算仮定</t>
  </si>
  <si>
    <t xml:space="preserve">制作</t>
  </si>
  <si>
    <t xml:space="preserve">[S3/S4] 価格以外は未検証の工数・獲得費等</t>
  </si>
  <si>
    <t xml:space="preserve">旧案・販売対象外</t>
  </si>
  <si>
    <t xml:space="preserve">設計は開発総額に含む</t>
  </si>
  <si>
    <t xml:space="preserve">既存モデルの仮定</t>
  </si>
  <si>
    <t xml:space="preserve">[S4] 社内の確認・連絡時間を含む</t>
  </si>
  <si>
    <t xml:space="preserve">顧客の作業枠とは異なる</t>
  </si>
  <si>
    <t xml:space="preserve">技術保守 29,800 円は新規の検討案です。「育てる」と同一商品ではないため、月次採算の既存 10 ケースには混ぜていません。独自機能と機能設計を同じ案件として二重に受注計上しないでください。</t>
  </si>
  <si>
    <t xml:space="preserve">条件と出典｜販売状態と費用を混同しない</t>
  </si>
  <si>
    <t xml:space="preserve">この Excel は比較・検討用の写し。価格の正本は src/content/prices.ts。原典の更新時には写しの再確認が必要です。</t>
  </si>
  <si>
    <t xml:space="preserve">項目</t>
  </si>
  <si>
    <t xml:space="preserve">内容</t>
  </si>
  <si>
    <t xml:space="preserve">参照・URL</t>
  </si>
  <si>
    <t xml:space="preserve">基本</t>
  </si>
  <si>
    <t xml:space="preserve">公開と受付</t>
  </si>
  <si>
    <t xml:space="preserve">現行＝現在の料金定義。CMS＝価格設定済み・受付準備中。個別 CMS／独自機能／機能設計／技術保守＝未採用の検討案。</t>
  </si>
  <si>
    <t xml:space="preserve">[S1][S3]</t>
  </si>
  <si>
    <t xml:space="preserve">支払</t>
  </si>
  <si>
    <t xml:space="preserve">現行制作は着手 50%・検収 50%。独自開発案は総額 898,000 円のうち設計 55,000 円、着手時 394,000 円、検収時 449,000 円。追加請求ではなく内訳。</t>
  </si>
  <si>
    <t xml:space="preserve">所有・継続</t>
  </si>
  <si>
    <t xml:space="preserve">ソース一式を納品。顧客名義のドメイン・契約を基本とし、外部サービスの実費は別。支援終了後も顧客または引継ぎ先の運用が必要。</t>
  </si>
  <si>
    <t xml:space="preserve">[S1][S2][S3]</t>
  </si>
  <si>
    <t xml:space="preserve">変更の範囲</t>
  </si>
  <si>
    <t xml:space="preserve">変更枠は「整える」月 30 分、「育てる」月 90 分。5 分単位で月の実作業を合算し、依頼ごとに切り上げません。未使用枠は繰り越しません。超過前に翌月対応か追加見積もりを選んでいただき、自動で追加請求しません。</t>
  </si>
  <si>
    <t xml:space="preserve">[S1][S2]</t>
  </si>
  <si>
    <t xml:space="preserve">共通の品質</t>
  </si>
  <si>
    <t xml:space="preserve">価格差は機能・運用範囲で分ける。上位だけに安全性や良いコードを付けるものではない。測っていない効果や順位は保証しない。</t>
  </si>
  <si>
    <t xml:space="preserve">[S3]</t>
  </si>
  <si>
    <t xml:space="preserve">CMS の提供条件</t>
  </si>
  <si>
    <t xml:space="preserve">投稿→公開、下書き非公開、失敗通知、キー保護、バックアップ・復元、顧客による実操作、引き継ぎを検証してから受付開始。</t>
  </si>
  <si>
    <t xml:space="preserve">保守なし</t>
  </si>
  <si>
    <t xml:space="preserve">紬への継続支払 0 円の選択肢は維持。外部費・日々の管理・必要な技術対応が不要になる意味ではない。</t>
  </si>
  <si>
    <t xml:space="preserve">経営</t>
  </si>
  <si>
    <t xml:space="preserve">価格と受注</t>
  </si>
  <si>
    <t xml:space="preserve">598,000 / 898,000 円等は採算からの仮説。市場の支払意思・実工数・受注率は未検証。旧案 698,000 円は採算比較のみ。</t>
  </si>
  <si>
    <t xml:space="preserve">出典 S1</t>
  </si>
  <si>
    <t xml:space="preserve">現行価格の正本</t>
  </si>
  <si>
    <t xml:space="preserve">制作 3・月額 4・追加オプション 8。抽出日 2026-09-17。税率・支払割合・外部費概算も含む。</t>
  </si>
  <si>
    <t xml:space="preserve">src/content/prices.ts</t>
  </si>
  <si>
    <t xml:space="preserve">出典 S2</t>
  </si>
  <si>
    <t xml:space="preserve">現行の提供範囲</t>
  </si>
  <si>
    <t xml:space="preserve">プラン名、含む内容、対象外、変更枠の運用ルール。</t>
  </si>
  <si>
    <t xml:space="preserve">src/i18n/locales/ja/prices.ts</t>
  </si>
  <si>
    <t xml:space="preserve">出典 S3</t>
  </si>
  <si>
    <t xml:space="preserve">上位商品設計・検討案</t>
  </si>
  <si>
    <t xml:space="preserve">2026-09-17 の未採用案。市場調査・顧客価値・商品化計画・根拠 URL を含む。</t>
  </si>
  <si>
    <t xml:space="preserve">docs/business/premium-pricing-proposal.md</t>
  </si>
  <si>
    <t xml:space="preserve">出典 S4</t>
  </si>
  <si>
    <t xml:space="preserve">採算の仮定</t>
  </si>
  <si>
    <t xml:space="preserve">既存入力と比較用の 10 ケース。現行価格を変更するファイルではない。</t>
  </si>
  <si>
    <t xml:space="preserve">docs/business/premium-pricing-assumptions.json</t>
  </si>
  <si>
    <t xml:space="preserve">外部費</t>
  </si>
  <si>
    <t xml:space="preserve">microCMS</t>
  </si>
  <si>
    <t xml:space="preserve">Team 月 4,900 円〜・税別の参考。無料 Hobby も条件を満たせば商用利用可能。前回提案の確認日 2026-09-17。</t>
  </si>
  <si>
    <t xml:space="preserve">https://microcms.io/pricing/</t>
  </si>
  <si>
    <t xml:space="preserve">Vercel</t>
  </si>
  <si>
    <t xml:space="preserve">商用は Pro 等の適切な契約を選ぶ。月 3,500 円は為替・座席・従量等で変わる仮置きで、公式の円固定価格ではない。</t>
  </si>
  <si>
    <t xml:space="preserve">https://vercel.com/pricing</t>
  </si>
  <si>
    <t xml:space="preserve">ドメイン等</t>
  </si>
  <si>
    <t xml:space="preserve">ドメイン更新、CMS、ホスティング、予約等は顧客直接払い。契約先の料金・更新価格を確認し、総額シミュレーター D 列へ必要分を含める。</t>
  </si>
  <si>
    <t xml:space="preserve">外部サービスの個別契約により確定</t>
  </si>
</sst>
</file>

<file path=xl/styles.xml><?xml version="1.0" encoding="utf-8"?>
<styleSheet xmlns="http://schemas.openxmlformats.org/spreadsheetml/2006/main">
  <numFmts count="4">
    <numFmt numFmtId="164" formatCode="General"/>
    <numFmt numFmtId="165" formatCode="#,##0;[RED]\(#,##0\);\0"/>
    <numFmt numFmtId="166" formatCode="0.00;[RED]\(0.00\);\0"/>
    <numFmt numFmtId="167" formatCode="0.0%;[RED]\(0.0%\);&quot;0.0%&quot;"/>
  </numFmts>
  <fonts count="18">
    <font>
      <sz val="11"/>
      <color theme="1"/>
      <name val="Hiragino Maru Gothic Pro W4"/>
      <family val="2"/>
    </font>
    <font>
      <sz val="10"/>
      <name val="Arial"/>
      <family val="0"/>
    </font>
    <font>
      <sz val="10"/>
      <name val="Arial"/>
      <family val="0"/>
    </font>
    <font>
      <sz val="10"/>
      <name val="Arial"/>
      <family val="0"/>
    </font>
    <font>
      <b val="true"/>
      <sz val="22"/>
      <color rgb="FFFFF8ED"/>
      <name val="Arial Unicode MS"/>
      <family val="0"/>
      <charset val="1"/>
    </font>
    <font>
      <sz val="11"/>
      <color rgb="FF6B6359"/>
      <name val="Arial Unicode MS"/>
      <family val="0"/>
      <charset val="1"/>
    </font>
    <font>
      <b val="true"/>
      <sz val="11"/>
      <color rgb="FFFFF8ED"/>
      <name val="Arial Unicode MS"/>
      <family val="0"/>
      <charset val="1"/>
    </font>
    <font>
      <sz val="11"/>
      <color rgb="FF008000"/>
      <name val="Arial Unicode MS"/>
      <family val="0"/>
      <charset val="1"/>
    </font>
    <font>
      <sz val="11"/>
      <color rgb="FF30291F"/>
      <name val="Arial Unicode MS"/>
      <family val="0"/>
      <charset val="1"/>
    </font>
    <font>
      <b val="true"/>
      <sz val="12"/>
      <color rgb="FF30291F"/>
      <name val="Arial Unicode MS"/>
      <family val="0"/>
      <charset val="1"/>
    </font>
    <font>
      <sz val="11"/>
      <color rgb="FF0000FF"/>
      <name val="Arial Unicode MS"/>
      <family val="0"/>
      <charset val="1"/>
    </font>
    <font>
      <sz val="10"/>
      <name val="Arial"/>
      <family val="2"/>
    </font>
    <font>
      <sz val="10"/>
      <name val="Hiragino Maru Gothic Pro W4"/>
      <family val="2"/>
    </font>
    <font>
      <b val="true"/>
      <sz val="18"/>
      <color rgb="FF000000"/>
      <name val="Hiragino Maru Gothic Pro W4"/>
      <family val="2"/>
    </font>
    <font>
      <b val="true"/>
      <sz val="18"/>
      <color rgb="FF000000"/>
      <name val="Calibri"/>
      <family val="2"/>
    </font>
    <font>
      <sz val="10"/>
      <color rgb="FF000000"/>
      <name val="Hiragino Maru Gothic Pro W4"/>
      <family val="2"/>
    </font>
    <font>
      <b val="true"/>
      <sz val="10"/>
      <color rgb="FF000000"/>
      <name val="Hiragino Maru Gothic Pro W4"/>
      <family val="2"/>
    </font>
    <font>
      <sz val="11"/>
      <color rgb="FF000000"/>
      <name val="Arial Unicode MS"/>
      <family val="0"/>
      <charset val="1"/>
    </font>
  </fonts>
  <fills count="6">
    <fill>
      <patternFill patternType="none"/>
    </fill>
    <fill>
      <patternFill patternType="gray125"/>
    </fill>
    <fill>
      <patternFill patternType="solid">
        <fgColor rgb="FF30291F"/>
        <bgColor rgb="FF333300"/>
      </patternFill>
    </fill>
    <fill>
      <patternFill patternType="solid">
        <fgColor rgb="FFFFF8ED"/>
        <bgColor rgb="FFFFFFFF"/>
      </patternFill>
    </fill>
    <fill>
      <patternFill patternType="solid">
        <fgColor rgb="FFFFFFFF"/>
        <bgColor rgb="FFFFF8ED"/>
      </patternFill>
    </fill>
    <fill>
      <patternFill patternType="solid">
        <fgColor rgb="FFFFF1BD"/>
        <bgColor rgb="FFFCE2DB"/>
      </patternFill>
    </fill>
  </fills>
  <borders count="2">
    <border diagonalUp="false" diagonalDown="false">
      <left/>
      <right/>
      <top/>
      <bottom/>
      <diagonal/>
    </border>
    <border diagonalUp="false" diagonalDown="false">
      <left/>
      <right/>
      <top/>
      <bottom style="hair">
        <color rgb="FFDDD4C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1" shrinkToFit="false"/>
      <protection locked="true" hidden="false"/>
    </xf>
    <xf numFmtId="164" fontId="7" fillId="3" borderId="1" xfId="0" applyFont="true" applyBorder="true" applyAlignment="true" applyProtection="false">
      <alignment horizontal="left" vertical="center" textRotation="0" wrapText="true" indent="1" shrinkToFit="false"/>
      <protection locked="true" hidden="false"/>
    </xf>
    <xf numFmtId="164" fontId="8" fillId="3" borderId="1" xfId="0" applyFont="true" applyBorder="true" applyAlignment="true" applyProtection="false">
      <alignment horizontal="left" vertical="center" textRotation="0" wrapText="true" indent="1" shrinkToFit="false"/>
      <protection locked="true" hidden="false"/>
    </xf>
    <xf numFmtId="165" fontId="7" fillId="3" borderId="1" xfId="0" applyFont="true" applyBorder="true" applyAlignment="true" applyProtection="false">
      <alignment horizontal="right" vertical="center" textRotation="0" wrapText="true" indent="1" shrinkToFit="false"/>
      <protection locked="true" hidden="false"/>
    </xf>
    <xf numFmtId="164" fontId="7" fillId="4" borderId="1" xfId="0" applyFont="true" applyBorder="true" applyAlignment="true" applyProtection="false">
      <alignment horizontal="left" vertical="center" textRotation="0" wrapText="true" indent="1" shrinkToFit="false"/>
      <protection locked="true" hidden="false"/>
    </xf>
    <xf numFmtId="164" fontId="8" fillId="4" borderId="1" xfId="0" applyFont="true" applyBorder="true" applyAlignment="true" applyProtection="false">
      <alignment horizontal="left" vertical="center" textRotation="0" wrapText="true" indent="1" shrinkToFit="false"/>
      <protection locked="true" hidden="false"/>
    </xf>
    <xf numFmtId="165" fontId="7" fillId="4" borderId="1" xfId="0" applyFont="true" applyBorder="true" applyAlignment="true" applyProtection="false">
      <alignment horizontal="right" vertical="center" textRotation="0" wrapText="tru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9" fillId="5" borderId="0" xfId="0" applyFont="true" applyBorder="true" applyAlignment="true" applyProtection="false">
      <alignment horizontal="left" vertical="center" textRotation="0" wrapText="tru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5" fontId="10" fillId="5" borderId="1" xfId="0" applyFont="true" applyBorder="true" applyAlignment="true" applyProtection="false">
      <alignment horizontal="right" vertical="center" textRotation="0" wrapText="true" indent="1" shrinkToFit="false"/>
      <protection locked="true" hidden="false"/>
    </xf>
    <xf numFmtId="165" fontId="10" fillId="5" borderId="1" xfId="0" applyFont="true" applyBorder="true" applyAlignment="true" applyProtection="false">
      <alignment horizontal="left" vertical="center" textRotation="0" wrapText="true" indent="1" shrinkToFit="false"/>
      <protection locked="true" hidden="false"/>
    </xf>
    <xf numFmtId="166" fontId="7" fillId="3" borderId="1" xfId="0" applyFont="true" applyBorder="true" applyAlignment="true" applyProtection="false">
      <alignment horizontal="right" vertical="center" textRotation="0" wrapText="true" indent="1" shrinkToFit="false"/>
      <protection locked="true" hidden="false"/>
    </xf>
    <xf numFmtId="166" fontId="7" fillId="4" borderId="1" xfId="0" applyFont="true" applyBorder="true" applyAlignment="true" applyProtection="false">
      <alignment horizontal="right" vertical="center" textRotation="0" wrapText="true" indent="1" shrinkToFit="false"/>
      <protection locked="true" hidden="false"/>
    </xf>
    <xf numFmtId="167" fontId="10" fillId="5" borderId="1" xfId="0" applyFont="true" applyBorder="true" applyAlignment="true" applyProtection="false">
      <alignment horizontal="right" vertical="center" textRotation="0" wrapText="true" indent="1" shrinkToFit="false"/>
      <protection locked="true" hidden="false"/>
    </xf>
    <xf numFmtId="166" fontId="10" fillId="5" borderId="1" xfId="0" applyFont="true" applyBorder="true" applyAlignment="true" applyProtection="false">
      <alignment horizontal="right" vertical="center" textRotation="0" wrapText="true" indent="1" shrinkToFit="false"/>
      <protection locked="true" hidden="false"/>
    </xf>
    <xf numFmtId="166" fontId="17" fillId="4" borderId="1" xfId="0" applyFont="true" applyBorder="true" applyAlignment="true" applyProtection="false">
      <alignment horizontal="right" vertical="center" textRotation="0" wrapText="true" indent="1" shrinkToFit="false"/>
      <protection locked="true" hidden="false"/>
    </xf>
    <xf numFmtId="166" fontId="17" fillId="3" borderId="1" xfId="0" applyFont="true" applyBorder="true" applyAlignment="true" applyProtection="false">
      <alignment horizontal="right" vertical="center" textRotation="0" wrapText="true" indent="1" shrinkToFit="false"/>
      <protection locked="true" hidden="false"/>
    </xf>
    <xf numFmtId="165" fontId="17" fillId="4" borderId="1" xfId="0" applyFont="true" applyBorder="true" applyAlignment="true" applyProtection="false">
      <alignment horizontal="right" vertical="center" textRotation="0" wrapText="true" indent="1" shrinkToFit="false"/>
      <protection locked="true" hidden="false"/>
    </xf>
    <xf numFmtId="165" fontId="17" fillId="3" borderId="1" xfId="0" applyFont="true" applyBorder="true" applyAlignment="true" applyProtection="false">
      <alignment horizontal="right" vertical="center" textRotation="0" wrapText="true" indent="1" shrinkToFit="false"/>
      <protection locked="true" hidden="false"/>
    </xf>
    <xf numFmtId="167" fontId="17" fillId="3" borderId="1" xfId="0" applyFont="true" applyBorder="true" applyAlignment="true" applyProtection="false">
      <alignment horizontal="right" vertical="center" textRotation="0" wrapText="true" indent="1" shrinkToFit="false"/>
      <protection locked="true" hidden="false"/>
    </xf>
    <xf numFmtId="167" fontId="17" fillId="4" borderId="1" xfId="0" applyFont="true" applyBorder="true" applyAlignment="true" applyProtection="false">
      <alignment horizontal="righ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30291F"/>
          <bgColor rgb="FF000000"/>
        </patternFill>
      </fill>
    </dxf>
    <dxf>
      <fill>
        <patternFill patternType="solid">
          <fgColor rgb="FFFFF8ED"/>
          <bgColor rgb="FF000000"/>
        </patternFill>
      </fill>
    </dxf>
    <dxf>
      <fill>
        <patternFill patternType="solid">
          <fgColor rgb="FFFFFFFF"/>
          <bgColor rgb="FF000000"/>
        </patternFill>
      </fill>
    </dxf>
    <dxf>
      <fill>
        <patternFill patternType="solid">
          <fgColor rgb="FFFFF1BD"/>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2DB"/>
          <bgColor rgb="FF000000"/>
        </patternFill>
      </fill>
    </dxf>
    <dxf>
      <fill>
        <patternFill>
          <bgColor rgb="FFFCE2D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4C6"/>
      <rgbColor rgb="FF878787"/>
      <rgbColor rgb="FF9999FF"/>
      <rgbColor rgb="FF993366"/>
      <rgbColor rgb="FFFFF1BD"/>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8ED"/>
      <rgbColor rgb="FF99CCFF"/>
      <rgbColor rgb="FFFF99CC"/>
      <rgbColor rgb="FFCC99FF"/>
      <rgbColor rgb="FFFCE2DB"/>
      <rgbColor rgb="FF3366FF"/>
      <rgbColor rgb="FF33CCCC"/>
      <rgbColor rgb="FF99CC00"/>
      <rgbColor rgb="FFFFCC00"/>
      <rgbColor rgb="FFFFB000"/>
      <rgbColor rgb="FFFF6600"/>
      <rgbColor rgb="FF6B6359"/>
      <rgbColor rgb="FF969696"/>
      <rgbColor rgb="FF003366"/>
      <rgbColor rgb="FF339966"/>
      <rgbColor rgb="FF003300"/>
      <rgbColor rgb="FF333300"/>
      <rgbColor rgb="FF993300"/>
      <rgbColor rgb="FF993366"/>
      <rgbColor rgb="FF333399"/>
      <rgbColor rgb="FF3029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月の経済的な余力｜全 140 時間と固定費控除後</a:t>
            </a:r>
          </a:p>
        </c:rich>
      </c:tx>
      <c:overlay val="0"/>
      <c:spPr>
        <a:noFill/>
        <a:ln w="0">
          <a:noFill/>
        </a:ln>
      </c:spPr>
    </c:title>
    <c:autoTitleDeleted val="0"/>
    <c:plotArea>
      <c:barChart>
        <c:barDir val="bar"/>
        <c:grouping val="clustered"/>
        <c:varyColors val="0"/>
        <c:ser>
          <c:idx val="0"/>
          <c:order val="0"/>
          <c:tx>
            <c:strRef>
              <c:f>'05 月次採算'!G5</c:f>
              <c:strCache>
                <c:ptCount val="1"/>
                <c:pt idx="0">
                  <c:v>全時間控除後
余力（円）</c:v>
                </c:pt>
              </c:strCache>
            </c:strRef>
          </c:tx>
          <c:spPr>
            <a:solidFill>
              <a:srgbClr val="FFB000"/>
            </a:solidFill>
            <a:ln w="12600">
              <a:solidFill>
                <a:srgbClr val="FFB00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'05 月次採算'!$A$6:$A$15</c:f>
              <c:strCache>
                <c:ptCount val="10"/>
                <c:pt idx="0">
                  <c:v>土台 1 件のみ</c:v>
                </c:pt>
                <c:pt idx="1">
                  <c:v>旧案 CMS 2 件・各 30 時間</c:v>
                </c:pt>
                <c:pt idx="2">
                  <c:v>CMS 2 件・各 26 時間</c:v>
                </c:pt>
                <c:pt idx="3">
                  <c:v>CMS 2 件＋土台 1 件</c:v>
                </c:pt>
                <c:pt idx="4">
                  <c:v>CMS 2 件＋整える 10 社＋育てる 3 社</c:v>
                </c:pt>
                <c:pt idx="5">
                  <c:v>旧案開発 1 件＋土台 1 件</c:v>
                </c:pt>
                <c:pt idx="6">
                  <c:v>独自機能 1 件＋土台 1 件</c:v>
                </c:pt>
                <c:pt idx="7">
                  <c:v>独自機能 1 件のみ</c:v>
                </c:pt>
                <c:pt idx="8">
                  <c:v>入口 12 件</c:v>
                </c:pt>
                <c:pt idx="9">
                  <c:v>既存モデルの受注構成</c:v>
                </c:pt>
              </c:strCache>
            </c:strRef>
          </c:cat>
          <c:val>
            <c:numRef>
              <c:f>'05 月次採算'!$G$6:$G$15</c:f>
              <c:numCache>
                <c:formatCode>#,##0;[RED]\(#,##0\);\0</c:formatCode>
                <c:ptCount val="10"/>
                <c:pt idx="0">
                  <c:v>-572940</c:v>
                </c:pt>
                <c:pt idx="1">
                  <c:v>-37880</c:v>
                </c:pt>
                <c:pt idx="2">
                  <c:v>-37880</c:v>
                </c:pt>
                <c:pt idx="3">
                  <c:v>139180</c:v>
                </c:pt>
                <c:pt idx="4">
                  <c:v>137798</c:v>
                </c:pt>
                <c:pt idx="5">
                  <c:v>54120</c:v>
                </c:pt>
                <c:pt idx="6">
                  <c:v>248120</c:v>
                </c:pt>
                <c:pt idx="7">
                  <c:v>71060</c:v>
                </c:pt>
                <c:pt idx="8">
                  <c:v>82872</c:v>
                </c:pt>
                <c:pt idx="9">
                  <c:v>132882</c:v>
                </c:pt>
              </c:numCache>
            </c:numRef>
          </c:val>
        </c:ser>
        <c:gapWidth val="150"/>
        <c:overlap val="0"/>
        <c:axId val="90057009"/>
        <c:axId val="93952378"/>
      </c:barChart>
      <c:catAx>
        <c:axId val="90057009"/>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円</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3952378"/>
        <c:crosses val="autoZero"/>
        <c:auto val="1"/>
        <c:lblAlgn val="ctr"/>
        <c:lblOffset val="100"/>
        <c:noMultiLvlLbl val="0"/>
      </c:catAx>
      <c:valAx>
        <c:axId val="93952378"/>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ケース</a:t>
                </a:r>
              </a:p>
            </c:rich>
          </c:tx>
          <c:overlay val="0"/>
          <c:spPr>
            <a:noFill/>
            <a:ln w="0">
              <a:noFill/>
            </a:ln>
          </c:spPr>
        </c:title>
        <c:numFmt formatCode="#,##0;[RED]\(#,##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057009"/>
        <c:crosses val="autoZero"/>
        <c:crossBetween val="between"/>
      </c:valAx>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5.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0</xdr:rowOff>
    </xdr:from>
    <xdr:to>
      <xdr:col>6</xdr:col>
      <xdr:colOff>430920</xdr:colOff>
      <xdr:row>47</xdr:row>
      <xdr:rowOff>65520</xdr:rowOff>
    </xdr:to>
    <xdr:graphicFrame>
      <xdr:nvGraphicFramePr>
        <xdr:cNvPr id="1" name="Chart 1"/>
        <xdr:cNvGraphicFramePr/>
      </xdr:nvGraphicFramePr>
      <xdr:xfrm>
        <a:off x="0" y="10620360"/>
        <a:ext cx="1043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ocs/business/&#32044;_&#20840;&#12503;&#12521;&#12531;&#27604;&#36611;&#12539;&#26009;&#37329;&#35430;&#31639;.xlsx" TargetMode="External"/><Relationship Id="rId2" Type="http://schemas.openxmlformats.org/officeDocument/2006/relationships/hyperlink" Target="../../../docs/business/&#32044;_&#20840;&#12503;&#12521;&#12531;&#27604;&#36611;&#12539;&#26009;&#37329;&#35430;&#31639;.xlsx" TargetMode="External"/><Relationship Id="rId3" Type="http://schemas.openxmlformats.org/officeDocument/2006/relationships/hyperlink" Target="../../../docs/business/&#32044;_&#20840;&#12503;&#12521;&#12531;&#27604;&#36611;&#12539;&#26009;&#37329;&#35430;&#31639;.xlsx" TargetMode="External"/><Relationship Id="rId4" Type="http://schemas.openxmlformats.org/officeDocument/2006/relationships/hyperlink" Target="../../../docs/business/&#32044;_&#20840;&#12503;&#12521;&#12531;&#27604;&#36611;&#12539;&#26009;&#37329;&#35430;&#31639;.xlsx" TargetMode="External"/><Relationship Id="rId5" Type="http://schemas.openxmlformats.org/officeDocument/2006/relationships/hyperlink" Target="../../../docs/business/&#32044;_&#20840;&#12503;&#12521;&#12531;&#27604;&#36611;&#12539;&#26009;&#37329;&#35430;&#31639;.xlsx" TargetMode="External"/><Relationship Id="rId6" Type="http://schemas.openxmlformats.org/officeDocument/2006/relationships/hyperlink" Target="../../../docs/business/&#32044;_&#20840;&#12503;&#12521;&#12531;&#27604;&#36611;&#12539;&#26009;&#37329;&#35430;&#31639;.xlsx" TargetMode="External"/><Relationship Id="rId7" Type="http://schemas.openxmlformats.org/officeDocument/2006/relationships/hyperlink" Target="../../../docs/business/&#32044;_&#20840;&#12503;&#12521;&#12531;&#27604;&#36611;&#12539;&#26009;&#37329;&#35430;&#31639;.xlsx" TargetMode="External"/><Relationship Id="rId8" Type="http://schemas.openxmlformats.org/officeDocument/2006/relationships/hyperlink" Target="../../../docs/business/&#32044;_&#20840;&#12503;&#12521;&#12531;&#27604;&#36611;&#12539;&#26009;&#37329;&#35430;&#31639;.xlsx"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hyperlink" Target="https://microcms.io/pricing/" TargetMode="External"/><Relationship Id="rId2" Type="http://schemas.openxmlformats.org/officeDocument/2006/relationships/hyperlink" Target="https://vercel.com/pricing" TargetMode="External"/><Relationship Id="rId3"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000"/>
    <pageSetUpPr fitToPage="true"/>
  </sheetPr>
  <dimension ref="A1:F30"/>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24.84"/>
    <col collapsed="false" customWidth="true" hidden="false" outlineLevel="0" max="2" min="2" style="0" width="13.97"/>
    <col collapsed="false" customWidth="true" hidden="false" outlineLevel="0" max="3" min="3" style="0" width="20.18"/>
    <col collapsed="false" customWidth="true" hidden="false" outlineLevel="0" max="5" min="4" style="0" width="16.3"/>
    <col collapsed="false" customWidth="true" hidden="false" outlineLevel="0" max="6" min="6" style="0" width="51.23"/>
  </cols>
  <sheetData>
    <row r="1" customFormat="false" ht="42" hidden="false" customHeight="true" outlineLevel="0" collapsed="false">
      <c r="A1" s="1" t="s">
        <v>0</v>
      </c>
      <c r="B1" s="1"/>
      <c r="C1" s="1"/>
      <c r="D1" s="1"/>
      <c r="E1" s="1"/>
      <c r="F1" s="1"/>
    </row>
    <row r="2" customFormat="false" ht="39.75" hidden="false" customHeight="true" outlineLevel="0" collapsed="false">
      <c r="A2" s="2" t="s">
        <v>1</v>
      </c>
      <c r="B2" s="2"/>
      <c r="C2" s="2"/>
      <c r="D2" s="2"/>
      <c r="E2" s="2"/>
      <c r="F2" s="2"/>
    </row>
    <row r="5" customFormat="false" ht="31.5" hidden="false" customHeight="true" outlineLevel="0" collapsed="false">
      <c r="A5" s="3" t="s">
        <v>2</v>
      </c>
      <c r="B5" s="3" t="s">
        <v>3</v>
      </c>
      <c r="C5" s="3" t="s">
        <v>4</v>
      </c>
      <c r="D5" s="3" t="s">
        <v>5</v>
      </c>
      <c r="E5" s="3" t="s">
        <v>6</v>
      </c>
      <c r="F5" s="3" t="s">
        <v>7</v>
      </c>
    </row>
    <row r="6" customFormat="false" ht="51.75" hidden="false" customHeight="true" outlineLevel="0" collapsed="false">
      <c r="A6" s="4" t="str">
        <f aca="false">'01 制作プラン'!A6</f>
        <v>入口をつくる</v>
      </c>
      <c r="B6" s="5" t="s">
        <v>8</v>
      </c>
      <c r="C6" s="4" t="str">
        <f aca="false">'01 制作プラン'!B6</f>
        <v>現行</v>
      </c>
      <c r="D6" s="6" t="n">
        <f aca="false">'01 制作プラン'!C6</f>
        <v>79800</v>
      </c>
      <c r="E6" s="6" t="n">
        <f aca="false">'01 制作プラン'!D6</f>
        <v>87780</v>
      </c>
      <c r="F6" s="5" t="s">
        <v>9</v>
      </c>
    </row>
    <row r="7" customFormat="false" ht="51.75" hidden="false" customHeight="true" outlineLevel="0" collapsed="false">
      <c r="A7" s="7" t="str">
        <f aca="false">'01 制作プラン'!A7</f>
        <v>事業の土台をつくる</v>
      </c>
      <c r="B7" s="8" t="s">
        <v>8</v>
      </c>
      <c r="C7" s="7" t="str">
        <f aca="false">'01 制作プラン'!B7</f>
        <v>現行</v>
      </c>
      <c r="D7" s="9" t="n">
        <f aca="false">'01 制作プラン'!C7</f>
        <v>198000</v>
      </c>
      <c r="E7" s="9" t="n">
        <f aca="false">'01 制作プラン'!D7</f>
        <v>217800</v>
      </c>
      <c r="F7" s="8" t="s">
        <v>10</v>
      </c>
    </row>
    <row r="8" customFormat="false" ht="51.75" hidden="false" customHeight="true" outlineLevel="0" collapsed="false">
      <c r="A8" s="4" t="str">
        <f aca="false">'01 制作プラン'!A8</f>
        <v>情報を育てる</v>
      </c>
      <c r="B8" s="5" t="s">
        <v>8</v>
      </c>
      <c r="C8" s="4" t="str">
        <f aca="false">'01 制作プラン'!B8</f>
        <v>受付準備中</v>
      </c>
      <c r="D8" s="6" t="n">
        <f aca="false">'01 制作プラン'!C8</f>
        <v>398000</v>
      </c>
      <c r="E8" s="6" t="n">
        <f aca="false">'01 制作プラン'!D8</f>
        <v>437800</v>
      </c>
      <c r="F8" s="5" t="s">
        <v>11</v>
      </c>
    </row>
    <row r="9" customFormat="false" ht="51.75" hidden="false" customHeight="true" outlineLevel="0" collapsed="false">
      <c r="A9" s="7" t="str">
        <f aca="false">'01 制作プラン'!A9</f>
        <v>個別設計 CMS</v>
      </c>
      <c r="B9" s="8" t="s">
        <v>8</v>
      </c>
      <c r="C9" s="7" t="str">
        <f aca="false">'01 制作プラン'!B9</f>
        <v>検討案・見積例</v>
      </c>
      <c r="D9" s="9" t="n">
        <f aca="false">'01 制作プラン'!C9</f>
        <v>598000</v>
      </c>
      <c r="E9" s="9" t="n">
        <f aca="false">'01 制作プラン'!D9</f>
        <v>657800</v>
      </c>
      <c r="F9" s="8" t="s">
        <v>12</v>
      </c>
    </row>
    <row r="10" customFormat="false" ht="51.75" hidden="false" customHeight="true" outlineLevel="0" collapsed="false">
      <c r="A10" s="4" t="str">
        <f aca="false">'01 制作プラン'!A10</f>
        <v>独自の仕組みをつくる</v>
      </c>
      <c r="B10" s="5" t="s">
        <v>8</v>
      </c>
      <c r="C10" s="4" t="str">
        <f aca="false">'01 制作プラン'!B10</f>
        <v>検討案・下限仮説</v>
      </c>
      <c r="D10" s="6" t="n">
        <f aca="false">'01 制作プラン'!C10</f>
        <v>898000</v>
      </c>
      <c r="E10" s="6" t="n">
        <f aca="false">'01 制作プラン'!D10</f>
        <v>987800</v>
      </c>
      <c r="F10" s="5" t="s">
        <v>13</v>
      </c>
    </row>
    <row r="11" customFormat="false" ht="51.75" hidden="false" customHeight="true" outlineLevel="0" collapsed="false">
      <c r="A11" s="7" t="str">
        <f aca="false">'01 制作プラン'!A11</f>
        <v>機能設計</v>
      </c>
      <c r="B11" s="8" t="s">
        <v>8</v>
      </c>
      <c r="C11" s="7" t="str">
        <f aca="false">'01 制作プラン'!B11</f>
        <v>検討案</v>
      </c>
      <c r="D11" s="9" t="n">
        <f aca="false">'01 制作プラン'!C11</f>
        <v>55000</v>
      </c>
      <c r="E11" s="9" t="n">
        <f aca="false">'01 制作プラン'!D11</f>
        <v>60500</v>
      </c>
      <c r="F11" s="8" t="s">
        <v>14</v>
      </c>
    </row>
    <row r="13" customFormat="false" ht="51.75" hidden="false" customHeight="true" outlineLevel="0" collapsed="false">
      <c r="A13" s="7" t="str">
        <f aca="false">'02 月額サポート'!A6</f>
        <v>自分で管理</v>
      </c>
      <c r="B13" s="8" t="s">
        <v>15</v>
      </c>
      <c r="C13" s="7" t="str">
        <f aca="false">'02 月額サポート'!B6</f>
        <v>現行</v>
      </c>
      <c r="D13" s="9" t="n">
        <f aca="false">'02 月額サポート'!C6</f>
        <v>0</v>
      </c>
      <c r="E13" s="9" t="n">
        <f aca="false">'02 月額サポート'!D6</f>
        <v>0</v>
      </c>
      <c r="F13" s="8" t="s">
        <v>16</v>
      </c>
    </row>
    <row r="14" customFormat="false" ht="51.75" hidden="false" customHeight="true" outlineLevel="0" collapsed="false">
      <c r="A14" s="4" t="str">
        <f aca="false">'02 月額サポート'!A7</f>
        <v>守る</v>
      </c>
      <c r="B14" s="5" t="s">
        <v>15</v>
      </c>
      <c r="C14" s="4" t="str">
        <f aca="false">'02 月額サポート'!B7</f>
        <v>現行</v>
      </c>
      <c r="D14" s="6" t="n">
        <f aca="false">'02 月額サポート'!C7</f>
        <v>3900</v>
      </c>
      <c r="E14" s="6" t="n">
        <f aca="false">'02 月額サポート'!D7</f>
        <v>4290</v>
      </c>
      <c r="F14" s="5" t="s">
        <v>17</v>
      </c>
    </row>
    <row r="15" customFormat="false" ht="51.75" hidden="false" customHeight="true" outlineLevel="0" collapsed="false">
      <c r="A15" s="7" t="str">
        <f aca="false">'02 月額サポート'!A8</f>
        <v>整える</v>
      </c>
      <c r="B15" s="8" t="s">
        <v>15</v>
      </c>
      <c r="C15" s="7" t="str">
        <f aca="false">'02 月額サポート'!B8</f>
        <v>現行</v>
      </c>
      <c r="D15" s="9" t="n">
        <f aca="false">'02 月額サポート'!C8</f>
        <v>9800</v>
      </c>
      <c r="E15" s="9" t="n">
        <f aca="false">'02 月額サポート'!D8</f>
        <v>10780</v>
      </c>
      <c r="F15" s="8" t="s">
        <v>18</v>
      </c>
    </row>
    <row r="16" customFormat="false" ht="51.75" hidden="false" customHeight="true" outlineLevel="0" collapsed="false">
      <c r="A16" s="4" t="str">
        <f aca="false">'02 月額サポート'!A9</f>
        <v>育てる</v>
      </c>
      <c r="B16" s="5" t="s">
        <v>15</v>
      </c>
      <c r="C16" s="4" t="str">
        <f aca="false">'02 月額サポート'!B9</f>
        <v>現行</v>
      </c>
      <c r="D16" s="6" t="n">
        <f aca="false">'02 月額サポート'!C9</f>
        <v>29800</v>
      </c>
      <c r="E16" s="6" t="n">
        <f aca="false">'02 月額サポート'!D9</f>
        <v>32780</v>
      </c>
      <c r="F16" s="5" t="s">
        <v>19</v>
      </c>
    </row>
    <row r="17" customFormat="false" ht="51.75" hidden="false" customHeight="true" outlineLevel="0" collapsed="false">
      <c r="A17" s="7" t="str">
        <f aca="false">'02 月額サポート'!A10</f>
        <v>技術保守（独自機能）</v>
      </c>
      <c r="B17" s="8" t="s">
        <v>15</v>
      </c>
      <c r="C17" s="7" t="str">
        <f aca="false">'02 月額サポート'!B10</f>
        <v>検討案・下限仮説</v>
      </c>
      <c r="D17" s="9" t="n">
        <f aca="false">'02 月額サポート'!C10</f>
        <v>29800</v>
      </c>
      <c r="E17" s="9" t="n">
        <f aca="false">'02 月額サポート'!D10</f>
        <v>32780</v>
      </c>
      <c r="F17" s="8" t="s">
        <v>20</v>
      </c>
    </row>
    <row r="19" customFormat="false" ht="48" hidden="false" customHeight="true" outlineLevel="0" collapsed="false">
      <c r="A19" s="10" t="s">
        <v>21</v>
      </c>
      <c r="B19" s="10"/>
      <c r="C19" s="10"/>
      <c r="D19" s="10"/>
      <c r="E19" s="10"/>
      <c r="F19" s="10"/>
    </row>
    <row r="20" customFormat="false" ht="48" hidden="false" customHeight="true" outlineLevel="0" collapsed="false">
      <c r="A20" s="10" t="s">
        <v>22</v>
      </c>
      <c r="B20" s="10"/>
      <c r="C20" s="10"/>
      <c r="D20" s="10"/>
      <c r="E20" s="10"/>
      <c r="F20" s="10"/>
    </row>
    <row r="23" customFormat="false" ht="31.5" hidden="false" customHeight="true" outlineLevel="0" collapsed="false">
      <c r="A23" s="11" t="s">
        <v>23</v>
      </c>
      <c r="B23" s="11"/>
      <c r="C23" s="11"/>
      <c r="D23" s="12" t="s">
        <v>24</v>
      </c>
      <c r="E23" s="12"/>
      <c r="F23" s="12"/>
    </row>
    <row r="24" customFormat="false" ht="31.5" hidden="false" customHeight="true" outlineLevel="0" collapsed="false">
      <c r="A24" s="11" t="s">
        <v>25</v>
      </c>
      <c r="B24" s="11"/>
      <c r="C24" s="11"/>
      <c r="D24" s="12" t="s">
        <v>26</v>
      </c>
      <c r="E24" s="12"/>
      <c r="F24" s="12"/>
    </row>
    <row r="25" customFormat="false" ht="31.5" hidden="false" customHeight="true" outlineLevel="0" collapsed="false">
      <c r="A25" s="11" t="s">
        <v>27</v>
      </c>
      <c r="B25" s="11"/>
      <c r="C25" s="11"/>
      <c r="D25" s="12" t="s">
        <v>28</v>
      </c>
      <c r="E25" s="12"/>
      <c r="F25" s="12"/>
    </row>
    <row r="26" customFormat="false" ht="31.5" hidden="false" customHeight="true" outlineLevel="0" collapsed="false">
      <c r="A26" s="11" t="s">
        <v>29</v>
      </c>
      <c r="B26" s="11"/>
      <c r="C26" s="11"/>
      <c r="D26" s="12" t="s">
        <v>30</v>
      </c>
      <c r="E26" s="12"/>
      <c r="F26" s="12"/>
    </row>
    <row r="27" customFormat="false" ht="31.5" hidden="false" customHeight="true" outlineLevel="0" collapsed="false">
      <c r="A27" s="11" t="s">
        <v>31</v>
      </c>
      <c r="B27" s="11"/>
      <c r="C27" s="11"/>
      <c r="D27" s="12" t="s">
        <v>32</v>
      </c>
      <c r="E27" s="12"/>
      <c r="F27" s="12"/>
    </row>
    <row r="28" customFormat="false" ht="31.5" hidden="false" customHeight="true" outlineLevel="0" collapsed="false">
      <c r="A28" s="11" t="s">
        <v>33</v>
      </c>
      <c r="B28" s="11"/>
      <c r="C28" s="11"/>
      <c r="D28" s="12" t="s">
        <v>34</v>
      </c>
      <c r="E28" s="12"/>
      <c r="F28" s="12"/>
    </row>
    <row r="29" customFormat="false" ht="31.5" hidden="false" customHeight="true" outlineLevel="0" collapsed="false">
      <c r="A29" s="11" t="s">
        <v>35</v>
      </c>
      <c r="B29" s="11"/>
      <c r="C29" s="11"/>
      <c r="D29" s="12" t="s">
        <v>36</v>
      </c>
      <c r="E29" s="12"/>
      <c r="F29" s="12"/>
    </row>
    <row r="30" customFormat="false" ht="31.5" hidden="false" customHeight="true" outlineLevel="0" collapsed="false">
      <c r="A30" s="11" t="s">
        <v>37</v>
      </c>
      <c r="B30" s="11"/>
      <c r="C30" s="11"/>
      <c r="D30" s="12" t="s">
        <v>38</v>
      </c>
      <c r="E30" s="12"/>
      <c r="F30" s="12"/>
    </row>
  </sheetData>
  <mergeCells count="20">
    <mergeCell ref="A1:F1"/>
    <mergeCell ref="A2:F2"/>
    <mergeCell ref="A19:F19"/>
    <mergeCell ref="A20:F20"/>
    <mergeCell ref="A23:C23"/>
    <mergeCell ref="D23:F23"/>
    <mergeCell ref="A24:C24"/>
    <mergeCell ref="D24:F24"/>
    <mergeCell ref="A25:C25"/>
    <mergeCell ref="D25:F25"/>
    <mergeCell ref="A26:C26"/>
    <mergeCell ref="D26:F26"/>
    <mergeCell ref="A27:C27"/>
    <mergeCell ref="D27:F27"/>
    <mergeCell ref="A28:C28"/>
    <mergeCell ref="D28:F28"/>
    <mergeCell ref="A29:C29"/>
    <mergeCell ref="D29:F29"/>
    <mergeCell ref="A30:C30"/>
    <mergeCell ref="D30:F30"/>
  </mergeCells>
  <hyperlinks>
    <hyperlink ref="A23" r:id="rId1" location="'01%20制作プラン'!A1" display="→ 01 制作プラン"/>
    <hyperlink ref="A24" r:id="rId2" location="'02%20月額サポート'!A1" display="→ 02 月額サポート"/>
    <hyperlink ref="A25" r:id="rId3" location="'03%20追加オプション'!A1" display="→ 03 追加オプション"/>
    <hyperlink ref="A26" r:id="rId4" location="'04%20総額シミュレーター'!A1" display="→ 04 総額シミュレーター"/>
    <hyperlink ref="A27" r:id="rId5" location="'05%20月次採算'!A1" display="→ 05 月次採算"/>
    <hyperlink ref="A28" r:id="rId6" location="'06%20受注構成'!A1" display="→ 06 受注構成"/>
    <hyperlink ref="A29" r:id="rId7" location="'07%20計算前提'!A1" display="→ 07 計算前提"/>
    <hyperlink ref="A30" r:id="rId8" location="'08%20条件と出典'!A1" display="→ 08 条件と出典"/>
  </hyperlinks>
  <printOptions headings="false" gridLines="false" gridLinesSet="true" horizontalCentered="true" verticalCentered="false"/>
  <pageMargins left="0.25" right="0.25" top="0.35" bottom="0.35"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291F"/>
    <pageSetUpPr fitToPage="true"/>
  </sheetPr>
  <dimension ref="A1:I1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20.96"/>
    <col collapsed="false" customWidth="true" hidden="false" outlineLevel="0" max="2" min="2" style="0" width="15.53"/>
    <col collapsed="false" customWidth="true" hidden="false" outlineLevel="0" max="4" min="3" style="0" width="13.19"/>
    <col collapsed="false" customWidth="true" hidden="false" outlineLevel="0" max="5" min="5" style="0" width="20.96"/>
    <col collapsed="false" customWidth="true" hidden="false" outlineLevel="0" max="6" min="6" style="0" width="37.26"/>
    <col collapsed="false" customWidth="true" hidden="false" outlineLevel="0" max="7" min="7" style="0" width="34.93"/>
    <col collapsed="false" customWidth="true" hidden="false" outlineLevel="0" max="8" min="8" style="0" width="20.18"/>
    <col collapsed="false" customWidth="true" hidden="false" outlineLevel="0" max="9" min="9" style="0" width="18.63"/>
  </cols>
  <sheetData>
    <row r="1" customFormat="false" ht="42" hidden="false" customHeight="true" outlineLevel="0" collapsed="false">
      <c r="A1" s="1" t="s">
        <v>39</v>
      </c>
      <c r="B1" s="1"/>
      <c r="C1" s="1"/>
      <c r="D1" s="1"/>
      <c r="E1" s="1"/>
      <c r="F1" s="1"/>
      <c r="G1" s="1"/>
      <c r="H1" s="1"/>
      <c r="I1" s="1"/>
    </row>
    <row r="2" customFormat="false" ht="39.75" hidden="false" customHeight="true" outlineLevel="0" collapsed="false">
      <c r="A2" s="2" t="s">
        <v>40</v>
      </c>
      <c r="B2" s="2"/>
      <c r="C2" s="2"/>
      <c r="D2" s="2"/>
      <c r="E2" s="2"/>
      <c r="F2" s="2"/>
      <c r="G2" s="2"/>
      <c r="H2" s="2"/>
      <c r="I2" s="2"/>
    </row>
    <row r="5" customFormat="false" ht="31.5" hidden="false" customHeight="true" outlineLevel="0" collapsed="false">
      <c r="A5" s="3" t="s">
        <v>2</v>
      </c>
      <c r="B5" s="3" t="s">
        <v>4</v>
      </c>
      <c r="C5" s="3" t="s">
        <v>5</v>
      </c>
      <c r="D5" s="3" t="s">
        <v>6</v>
      </c>
      <c r="E5" s="3" t="s">
        <v>41</v>
      </c>
      <c r="F5" s="3" t="s">
        <v>42</v>
      </c>
      <c r="G5" s="3" t="s">
        <v>43</v>
      </c>
      <c r="H5" s="3" t="s">
        <v>44</v>
      </c>
      <c r="I5" s="3" t="s">
        <v>45</v>
      </c>
    </row>
    <row r="6" customFormat="false" ht="129.75" hidden="false" customHeight="true" outlineLevel="0" collapsed="false">
      <c r="A6" s="5" t="s">
        <v>46</v>
      </c>
      <c r="B6" s="5" t="s">
        <v>47</v>
      </c>
      <c r="C6" s="13" t="n">
        <v>79800</v>
      </c>
      <c r="D6" s="6" t="n">
        <f aca="false">ROUND(C6*(1+'07 計算前提'!$B$6),0)</f>
        <v>87780</v>
      </c>
      <c r="E6" s="5" t="s">
        <v>48</v>
      </c>
      <c r="F6" s="5" t="s">
        <v>49</v>
      </c>
      <c r="G6" s="5" t="s">
        <v>50</v>
      </c>
      <c r="H6" s="5" t="s">
        <v>51</v>
      </c>
      <c r="I6" s="5" t="s">
        <v>52</v>
      </c>
    </row>
    <row r="7" customFormat="false" ht="129.75" hidden="false" customHeight="true" outlineLevel="0" collapsed="false">
      <c r="A7" s="8" t="s">
        <v>53</v>
      </c>
      <c r="B7" s="8" t="s">
        <v>47</v>
      </c>
      <c r="C7" s="13" t="n">
        <v>198000</v>
      </c>
      <c r="D7" s="9" t="n">
        <f aca="false">ROUND(C7*(1+'07 計算前提'!$B$6),0)</f>
        <v>217800</v>
      </c>
      <c r="E7" s="8" t="s">
        <v>54</v>
      </c>
      <c r="F7" s="8" t="s">
        <v>55</v>
      </c>
      <c r="G7" s="8" t="s">
        <v>56</v>
      </c>
      <c r="H7" s="8" t="s">
        <v>57</v>
      </c>
      <c r="I7" s="8" t="s">
        <v>52</v>
      </c>
    </row>
    <row r="8" customFormat="false" ht="129.75" hidden="false" customHeight="true" outlineLevel="0" collapsed="false">
      <c r="A8" s="5" t="s">
        <v>58</v>
      </c>
      <c r="B8" s="5" t="s">
        <v>59</v>
      </c>
      <c r="C8" s="13" t="n">
        <v>398000</v>
      </c>
      <c r="D8" s="6" t="n">
        <f aca="false">ROUND(C8*(1+'07 計算前提'!$B$6),0)</f>
        <v>437800</v>
      </c>
      <c r="E8" s="5" t="s">
        <v>60</v>
      </c>
      <c r="F8" s="5" t="s">
        <v>61</v>
      </c>
      <c r="G8" s="5" t="s">
        <v>56</v>
      </c>
      <c r="H8" s="5" t="s">
        <v>62</v>
      </c>
      <c r="I8" s="5" t="s">
        <v>52</v>
      </c>
    </row>
    <row r="9" customFormat="false" ht="114.75" hidden="false" customHeight="true" outlineLevel="0" collapsed="false">
      <c r="A9" s="8" t="s">
        <v>63</v>
      </c>
      <c r="B9" s="8" t="s">
        <v>64</v>
      </c>
      <c r="C9" s="13" t="n">
        <v>598000</v>
      </c>
      <c r="D9" s="9" t="n">
        <f aca="false">ROUND(C9*(1+'07 計算前提'!$B$6),0)</f>
        <v>657800</v>
      </c>
      <c r="E9" s="8" t="s">
        <v>65</v>
      </c>
      <c r="F9" s="8" t="s">
        <v>66</v>
      </c>
      <c r="G9" s="8" t="s">
        <v>67</v>
      </c>
      <c r="H9" s="8" t="s">
        <v>68</v>
      </c>
      <c r="I9" s="8" t="s">
        <v>69</v>
      </c>
    </row>
    <row r="10" customFormat="false" ht="114.75" hidden="false" customHeight="true" outlineLevel="0" collapsed="false">
      <c r="A10" s="5" t="s">
        <v>70</v>
      </c>
      <c r="B10" s="5" t="s">
        <v>71</v>
      </c>
      <c r="C10" s="13" t="n">
        <v>898000</v>
      </c>
      <c r="D10" s="6" t="n">
        <f aca="false">ROUND(C10*(1+'07 計算前提'!$B$6),0)</f>
        <v>987800</v>
      </c>
      <c r="E10" s="5" t="s">
        <v>72</v>
      </c>
      <c r="F10" s="5" t="s">
        <v>73</v>
      </c>
      <c r="G10" s="5" t="s">
        <v>74</v>
      </c>
      <c r="H10" s="5" t="s">
        <v>75</v>
      </c>
      <c r="I10" s="5" t="s">
        <v>69</v>
      </c>
    </row>
    <row r="11" customFormat="false" ht="114.75" hidden="false" customHeight="true" outlineLevel="0" collapsed="false">
      <c r="A11" s="8" t="s">
        <v>76</v>
      </c>
      <c r="B11" s="8" t="s">
        <v>77</v>
      </c>
      <c r="C11" s="13" t="n">
        <v>55000</v>
      </c>
      <c r="D11" s="9" t="n">
        <f aca="false">ROUND(C11*(1+'07 計算前提'!$B$6),0)</f>
        <v>60500</v>
      </c>
      <c r="E11" s="8" t="s">
        <v>78</v>
      </c>
      <c r="F11" s="8" t="s">
        <v>79</v>
      </c>
      <c r="G11" s="8" t="s">
        <v>80</v>
      </c>
      <c r="H11" s="8" t="s">
        <v>81</v>
      </c>
      <c r="I11" s="8" t="s">
        <v>69</v>
      </c>
    </row>
    <row r="13" customFormat="false" ht="48" hidden="false" customHeight="true" outlineLevel="0" collapsed="false">
      <c r="A13" s="10" t="s">
        <v>82</v>
      </c>
      <c r="B13" s="10"/>
      <c r="C13" s="10"/>
      <c r="D13" s="10"/>
      <c r="E13" s="10"/>
      <c r="F13" s="10"/>
      <c r="G13" s="10"/>
      <c r="H13" s="10"/>
      <c r="I13" s="10"/>
    </row>
    <row r="14" customFormat="false" ht="48" hidden="false" customHeight="true" outlineLevel="0" collapsed="false">
      <c r="A14" s="10" t="s">
        <v>83</v>
      </c>
      <c r="B14" s="10"/>
      <c r="C14" s="10"/>
      <c r="D14" s="10"/>
      <c r="E14" s="10"/>
      <c r="F14" s="10"/>
      <c r="G14" s="10"/>
      <c r="H14" s="10"/>
      <c r="I14" s="10"/>
    </row>
  </sheetData>
  <autoFilter ref="A5:I11"/>
  <mergeCells count="4">
    <mergeCell ref="A1:I1"/>
    <mergeCell ref="A2:I2"/>
    <mergeCell ref="A13:I13"/>
    <mergeCell ref="A14:I14"/>
  </mergeCells>
  <dataValidations count="1">
    <dataValidation allowBlank="false" error="0 以上を入力してください。" errorStyle="stop" operator="greaterThanOrEqual" showDropDown="false" showErrorMessage="true" showInputMessage="false" sqref="C6:C11" type="decimal">
      <formula1>0</formula1>
      <formula2>0</formula2>
    </dataValidation>
  </dataValidations>
  <printOptions headings="false" gridLines="false" gridLinesSet="true" horizontalCentered="true" verticalCentered="false"/>
  <pageMargins left="0.25" right="0.25" top="0.35" bottom="0.35"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291F"/>
    <pageSetUpPr fitToPage="true"/>
  </sheetPr>
  <dimension ref="A1:H1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19.41"/>
    <col collapsed="false" customWidth="true" hidden="false" outlineLevel="0" max="2" min="2" style="0" width="15.53"/>
    <col collapsed="false" customWidth="true" hidden="false" outlineLevel="0" max="4" min="3" style="0" width="13.97"/>
    <col collapsed="false" customWidth="true" hidden="false" outlineLevel="0" max="5" min="5" style="0" width="17.85"/>
    <col collapsed="false" customWidth="true" hidden="false" outlineLevel="0" max="6" min="6" style="0" width="14.75"/>
    <col collapsed="false" customWidth="true" hidden="false" outlineLevel="0" max="7" min="7" style="0" width="40.36"/>
    <col collapsed="false" customWidth="true" hidden="false" outlineLevel="0" max="8" min="8" style="0" width="37.26"/>
  </cols>
  <sheetData>
    <row r="1" customFormat="false" ht="42" hidden="false" customHeight="true" outlineLevel="0" collapsed="false">
      <c r="A1" s="1" t="s">
        <v>84</v>
      </c>
      <c r="B1" s="1"/>
      <c r="C1" s="1"/>
      <c r="D1" s="1"/>
      <c r="E1" s="1"/>
      <c r="F1" s="1"/>
      <c r="G1" s="1"/>
      <c r="H1" s="1"/>
    </row>
    <row r="2" customFormat="false" ht="39.75" hidden="false" customHeight="true" outlineLevel="0" collapsed="false">
      <c r="A2" s="2" t="s">
        <v>85</v>
      </c>
      <c r="B2" s="2"/>
      <c r="C2" s="2"/>
      <c r="D2" s="2"/>
      <c r="E2" s="2"/>
      <c r="F2" s="2"/>
      <c r="G2" s="2"/>
      <c r="H2" s="2"/>
    </row>
    <row r="5" customFormat="false" ht="31.5" hidden="false" customHeight="true" outlineLevel="0" collapsed="false">
      <c r="A5" s="3" t="s">
        <v>2</v>
      </c>
      <c r="B5" s="3" t="s">
        <v>4</v>
      </c>
      <c r="C5" s="3" t="s">
        <v>86</v>
      </c>
      <c r="D5" s="3" t="s">
        <v>87</v>
      </c>
      <c r="E5" s="3" t="s">
        <v>88</v>
      </c>
      <c r="F5" s="3" t="s">
        <v>89</v>
      </c>
      <c r="G5" s="3" t="s">
        <v>42</v>
      </c>
      <c r="H5" s="3" t="s">
        <v>90</v>
      </c>
    </row>
    <row r="6" customFormat="false" ht="99.75" hidden="false" customHeight="true" outlineLevel="0" collapsed="false">
      <c r="A6" s="5" t="s">
        <v>91</v>
      </c>
      <c r="B6" s="5" t="s">
        <v>47</v>
      </c>
      <c r="C6" s="13" t="n">
        <v>0</v>
      </c>
      <c r="D6" s="6" t="n">
        <f aca="false">ROUND(C6*(1+'07 計算前提'!$B$6),0)</f>
        <v>0</v>
      </c>
      <c r="E6" s="5" t="s">
        <v>92</v>
      </c>
      <c r="F6" s="5" t="s">
        <v>93</v>
      </c>
      <c r="G6" s="5" t="s">
        <v>94</v>
      </c>
      <c r="H6" s="5" t="s">
        <v>95</v>
      </c>
    </row>
    <row r="7" customFormat="false" ht="99.75" hidden="false" customHeight="true" outlineLevel="0" collapsed="false">
      <c r="A7" s="8" t="s">
        <v>96</v>
      </c>
      <c r="B7" s="8" t="s">
        <v>47</v>
      </c>
      <c r="C7" s="13" t="n">
        <v>3900</v>
      </c>
      <c r="D7" s="9" t="n">
        <f aca="false">ROUND(C7*(1+'07 計算前提'!$B$6),0)</f>
        <v>4290</v>
      </c>
      <c r="E7" s="8" t="s">
        <v>92</v>
      </c>
      <c r="F7" s="8" t="s">
        <v>93</v>
      </c>
      <c r="G7" s="8" t="s">
        <v>97</v>
      </c>
      <c r="H7" s="8" t="s">
        <v>98</v>
      </c>
    </row>
    <row r="8" customFormat="false" ht="99.75" hidden="false" customHeight="true" outlineLevel="0" collapsed="false">
      <c r="A8" s="5" t="s">
        <v>99</v>
      </c>
      <c r="B8" s="5" t="s">
        <v>47</v>
      </c>
      <c r="C8" s="13" t="n">
        <v>9800</v>
      </c>
      <c r="D8" s="6" t="n">
        <f aca="false">ROUND(C8*(1+'07 計算前提'!$B$6),0)</f>
        <v>10780</v>
      </c>
      <c r="E8" s="5" t="s">
        <v>100</v>
      </c>
      <c r="F8" s="5" t="s">
        <v>93</v>
      </c>
      <c r="G8" s="5" t="s">
        <v>101</v>
      </c>
      <c r="H8" s="5" t="s">
        <v>102</v>
      </c>
    </row>
    <row r="9" customFormat="false" ht="99.75" hidden="false" customHeight="true" outlineLevel="0" collapsed="false">
      <c r="A9" s="8" t="s">
        <v>103</v>
      </c>
      <c r="B9" s="8" t="s">
        <v>47</v>
      </c>
      <c r="C9" s="13" t="n">
        <v>29800</v>
      </c>
      <c r="D9" s="9" t="n">
        <f aca="false">ROUND(C9*(1+'07 計算前提'!$B$6),0)</f>
        <v>32780</v>
      </c>
      <c r="E9" s="8" t="s">
        <v>104</v>
      </c>
      <c r="F9" s="8" t="s">
        <v>100</v>
      </c>
      <c r="G9" s="8" t="s">
        <v>105</v>
      </c>
      <c r="H9" s="8" t="s">
        <v>102</v>
      </c>
    </row>
    <row r="10" customFormat="false" ht="114.75" hidden="false" customHeight="true" outlineLevel="0" collapsed="false">
      <c r="A10" s="5" t="s">
        <v>106</v>
      </c>
      <c r="B10" s="5" t="s">
        <v>71</v>
      </c>
      <c r="C10" s="13" t="n">
        <v>29800</v>
      </c>
      <c r="D10" s="6" t="n">
        <f aca="false">ROUND(C10*(1+'07 計算前提'!$B$6),0)</f>
        <v>32780</v>
      </c>
      <c r="E10" s="5" t="s">
        <v>107</v>
      </c>
      <c r="F10" s="5" t="s">
        <v>108</v>
      </c>
      <c r="G10" s="5" t="s">
        <v>109</v>
      </c>
      <c r="H10" s="5" t="s">
        <v>110</v>
      </c>
    </row>
    <row r="12" customFormat="false" ht="48" hidden="false" customHeight="true" outlineLevel="0" collapsed="false">
      <c r="A12" s="10" t="s">
        <v>111</v>
      </c>
      <c r="B12" s="10"/>
      <c r="C12" s="10"/>
      <c r="D12" s="10"/>
      <c r="E12" s="10"/>
      <c r="F12" s="10"/>
      <c r="G12" s="10"/>
      <c r="H12" s="10"/>
    </row>
    <row r="13" customFormat="false" ht="48" hidden="false" customHeight="true" outlineLevel="0" collapsed="false">
      <c r="A13" s="10" t="s">
        <v>112</v>
      </c>
      <c r="B13" s="10"/>
      <c r="C13" s="10"/>
      <c r="D13" s="10"/>
      <c r="E13" s="10"/>
      <c r="F13" s="10"/>
      <c r="G13" s="10"/>
      <c r="H13" s="10"/>
    </row>
  </sheetData>
  <autoFilter ref="A5:H10"/>
  <mergeCells count="4">
    <mergeCell ref="A1:H1"/>
    <mergeCell ref="A2:H2"/>
    <mergeCell ref="A12:H12"/>
    <mergeCell ref="A13:H13"/>
  </mergeCells>
  <dataValidations count="1">
    <dataValidation allowBlank="false" error="0 以上を入力してください。" errorStyle="stop" operator="greaterThanOrEqual" showDropDown="false" showErrorMessage="true" showInputMessage="false" sqref="C6:C10" type="decimal">
      <formula1>0</formula1>
      <formula2>0</formula2>
    </dataValidation>
  </dataValidations>
  <printOptions headings="false" gridLines="false" gridLinesSet="true" horizontalCentered="true" verticalCentered="false"/>
  <pageMargins left="0.25" right="0.25" top="0.35" bottom="0.3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291F"/>
    <pageSetUpPr fitToPage="true"/>
  </sheetPr>
  <dimension ref="A1:G1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29.5"/>
    <col collapsed="false" customWidth="true" hidden="false" outlineLevel="0" max="2" min="2" style="0" width="18.63"/>
    <col collapsed="false" customWidth="true" hidden="false" outlineLevel="0" max="4" min="3" style="0" width="13.97"/>
    <col collapsed="false" customWidth="true" hidden="false" outlineLevel="0" max="5" min="5" style="0" width="37.26"/>
    <col collapsed="false" customWidth="true" hidden="false" outlineLevel="0" max="6" min="6" style="0" width="35.7"/>
    <col collapsed="false" customWidth="true" hidden="false" outlineLevel="0" max="7" min="7" style="0" width="15.53"/>
  </cols>
  <sheetData>
    <row r="1" customFormat="false" ht="42" hidden="false" customHeight="true" outlineLevel="0" collapsed="false">
      <c r="A1" s="1" t="s">
        <v>113</v>
      </c>
      <c r="B1" s="1"/>
      <c r="C1" s="1"/>
      <c r="D1" s="1"/>
      <c r="E1" s="1"/>
      <c r="F1" s="1"/>
      <c r="G1" s="1"/>
    </row>
    <row r="2" customFormat="false" ht="39.75" hidden="false" customHeight="true" outlineLevel="0" collapsed="false">
      <c r="A2" s="2" t="s">
        <v>114</v>
      </c>
      <c r="B2" s="2"/>
      <c r="C2" s="2"/>
      <c r="D2" s="2"/>
      <c r="E2" s="2"/>
      <c r="F2" s="2"/>
      <c r="G2" s="2"/>
    </row>
    <row r="5" customFormat="false" ht="31.5" hidden="false" customHeight="true" outlineLevel="0" collapsed="false">
      <c r="A5" s="3" t="s">
        <v>115</v>
      </c>
      <c r="B5" s="3" t="s">
        <v>116</v>
      </c>
      <c r="C5" s="3" t="s">
        <v>5</v>
      </c>
      <c r="D5" s="3" t="s">
        <v>6</v>
      </c>
      <c r="E5" s="3" t="s">
        <v>117</v>
      </c>
      <c r="F5" s="3" t="s">
        <v>118</v>
      </c>
      <c r="G5" s="3" t="s">
        <v>119</v>
      </c>
    </row>
    <row r="6" customFormat="false" ht="75.75" hidden="false" customHeight="true" outlineLevel="0" collapsed="false">
      <c r="A6" s="5" t="s">
        <v>120</v>
      </c>
      <c r="B6" s="5" t="s">
        <v>121</v>
      </c>
      <c r="C6" s="13" t="n">
        <v>33000</v>
      </c>
      <c r="D6" s="6" t="n">
        <f aca="false">ROUND(C6*(1+'07 計算前提'!$B$6),0)</f>
        <v>36300</v>
      </c>
      <c r="E6" s="5" t="s">
        <v>122</v>
      </c>
      <c r="F6" s="5" t="s">
        <v>123</v>
      </c>
      <c r="G6" s="5" t="s">
        <v>124</v>
      </c>
    </row>
    <row r="7" customFormat="false" ht="75.75" hidden="false" customHeight="true" outlineLevel="0" collapsed="false">
      <c r="A7" s="8" t="s">
        <v>125</v>
      </c>
      <c r="B7" s="8" t="s">
        <v>126</v>
      </c>
      <c r="C7" s="13" t="n">
        <v>55000</v>
      </c>
      <c r="D7" s="9" t="n">
        <f aca="false">ROUND(C7*(1+'07 計算前提'!$B$6),0)</f>
        <v>60500</v>
      </c>
      <c r="E7" s="8" t="s">
        <v>127</v>
      </c>
      <c r="F7" s="8" t="s">
        <v>123</v>
      </c>
      <c r="G7" s="8" t="s">
        <v>124</v>
      </c>
    </row>
    <row r="8" customFormat="false" ht="75.75" hidden="false" customHeight="true" outlineLevel="0" collapsed="false">
      <c r="A8" s="5" t="s">
        <v>128</v>
      </c>
      <c r="B8" s="5" t="s">
        <v>126</v>
      </c>
      <c r="C8" s="13" t="n">
        <v>88000</v>
      </c>
      <c r="D8" s="6" t="n">
        <f aca="false">ROUND(C8*(1+'07 計算前提'!$B$6),0)</f>
        <v>96800</v>
      </c>
      <c r="E8" s="5" t="s">
        <v>127</v>
      </c>
      <c r="F8" s="5" t="s">
        <v>123</v>
      </c>
      <c r="G8" s="5" t="s">
        <v>124</v>
      </c>
    </row>
    <row r="9" customFormat="false" ht="75.75" hidden="false" customHeight="true" outlineLevel="0" collapsed="false">
      <c r="A9" s="8" t="s">
        <v>129</v>
      </c>
      <c r="B9" s="8" t="s">
        <v>121</v>
      </c>
      <c r="C9" s="13" t="n">
        <v>88000</v>
      </c>
      <c r="D9" s="9" t="n">
        <f aca="false">ROUND(C9*(1+'07 計算前提'!$B$6),0)</f>
        <v>96800</v>
      </c>
      <c r="E9" s="8" t="s">
        <v>130</v>
      </c>
      <c r="F9" s="8" t="s">
        <v>123</v>
      </c>
      <c r="G9" s="8" t="s">
        <v>124</v>
      </c>
    </row>
    <row r="10" customFormat="false" ht="75.75" hidden="false" customHeight="true" outlineLevel="0" collapsed="false">
      <c r="A10" s="5" t="s">
        <v>131</v>
      </c>
      <c r="B10" s="5" t="s">
        <v>121</v>
      </c>
      <c r="C10" s="13" t="n">
        <v>55000</v>
      </c>
      <c r="D10" s="6" t="n">
        <f aca="false">ROUND(C10*(1+'07 計算前提'!$B$6),0)</f>
        <v>60500</v>
      </c>
      <c r="E10" s="5" t="s">
        <v>132</v>
      </c>
      <c r="F10" s="5" t="s">
        <v>123</v>
      </c>
      <c r="G10" s="5" t="s">
        <v>124</v>
      </c>
    </row>
    <row r="11" customFormat="false" ht="75.75" hidden="false" customHeight="true" outlineLevel="0" collapsed="false">
      <c r="A11" s="8" t="s">
        <v>133</v>
      </c>
      <c r="B11" s="8" t="s">
        <v>121</v>
      </c>
      <c r="C11" s="13" t="n">
        <v>198000</v>
      </c>
      <c r="D11" s="9" t="n">
        <f aca="false">ROUND(C11*(1+'07 計算前提'!$B$6),0)</f>
        <v>217800</v>
      </c>
      <c r="E11" s="8" t="s">
        <v>134</v>
      </c>
      <c r="F11" s="8" t="s">
        <v>123</v>
      </c>
      <c r="G11" s="8" t="s">
        <v>124</v>
      </c>
    </row>
    <row r="12" customFormat="false" ht="75.75" hidden="false" customHeight="true" outlineLevel="0" collapsed="false">
      <c r="A12" s="5" t="s">
        <v>135</v>
      </c>
      <c r="B12" s="5" t="s">
        <v>121</v>
      </c>
      <c r="C12" s="13" t="n">
        <v>55000</v>
      </c>
      <c r="D12" s="6" t="n">
        <f aca="false">ROUND(C12*(1+'07 計算前提'!$B$6),0)</f>
        <v>60500</v>
      </c>
      <c r="E12" s="5" t="s">
        <v>136</v>
      </c>
      <c r="F12" s="5" t="s">
        <v>137</v>
      </c>
      <c r="G12" s="5" t="s">
        <v>124</v>
      </c>
    </row>
    <row r="13" customFormat="false" ht="75.75" hidden="false" customHeight="true" outlineLevel="0" collapsed="false">
      <c r="A13" s="8" t="s">
        <v>138</v>
      </c>
      <c r="B13" s="8" t="s">
        <v>121</v>
      </c>
      <c r="C13" s="13" t="n">
        <v>165000</v>
      </c>
      <c r="D13" s="9" t="n">
        <f aca="false">ROUND(C13*(1+'07 計算前提'!$B$6),0)</f>
        <v>181500</v>
      </c>
      <c r="E13" s="8" t="s">
        <v>130</v>
      </c>
      <c r="F13" s="8" t="s">
        <v>123</v>
      </c>
      <c r="G13" s="8" t="s">
        <v>124</v>
      </c>
    </row>
    <row r="15" customFormat="false" ht="48" hidden="false" customHeight="true" outlineLevel="0" collapsed="false">
      <c r="A15" s="10" t="s">
        <v>139</v>
      </c>
      <c r="B15" s="10"/>
      <c r="C15" s="10"/>
      <c r="D15" s="10"/>
      <c r="E15" s="10"/>
      <c r="F15" s="10"/>
      <c r="G15" s="10"/>
    </row>
  </sheetData>
  <autoFilter ref="A5:G13"/>
  <mergeCells count="3">
    <mergeCell ref="A1:G1"/>
    <mergeCell ref="A2:G2"/>
    <mergeCell ref="A15:G15"/>
  </mergeCells>
  <dataValidations count="1">
    <dataValidation allowBlank="false" error="0 以上を入力してください。" errorStyle="stop" operator="greaterThanOrEqual" showDropDown="false" showErrorMessage="true" showInputMessage="false" sqref="C6:C13" type="decimal">
      <formula1>0</formula1>
      <formula2>0</formula2>
    </dataValidation>
  </dataValidations>
  <printOptions headings="false" gridLines="false" gridLinesSet="true" horizontalCentered="true" verticalCentered="false"/>
  <pageMargins left="0.25" right="0.25" top="0.35" bottom="0.3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000"/>
    <pageSetUpPr fitToPage="true"/>
  </sheetPr>
  <dimension ref="A1:J1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3" min="1" style="0" width="22.51"/>
    <col collapsed="false" customWidth="true" hidden="false" outlineLevel="0" max="7" min="4" style="0" width="15.53"/>
    <col collapsed="false" customWidth="true" hidden="false" outlineLevel="0" max="9" min="8" style="0" width="17.08"/>
    <col collapsed="false" customWidth="true" hidden="false" outlineLevel="0" max="10" min="10" style="0" width="18.63"/>
  </cols>
  <sheetData>
    <row r="1" customFormat="false" ht="42" hidden="false" customHeight="true" outlineLevel="0" collapsed="false">
      <c r="A1" s="1" t="s">
        <v>140</v>
      </c>
      <c r="B1" s="1"/>
      <c r="C1" s="1"/>
      <c r="D1" s="1"/>
      <c r="E1" s="1"/>
      <c r="F1" s="1"/>
      <c r="G1" s="1"/>
      <c r="H1" s="1"/>
      <c r="I1" s="1"/>
      <c r="J1" s="1"/>
    </row>
    <row r="2" customFormat="false" ht="39.75" hidden="false" customHeight="true" outlineLevel="0" collapsed="false">
      <c r="A2" s="2" t="s">
        <v>141</v>
      </c>
      <c r="B2" s="2"/>
      <c r="C2" s="2"/>
      <c r="D2" s="2"/>
      <c r="E2" s="2"/>
      <c r="F2" s="2"/>
      <c r="G2" s="2"/>
      <c r="H2" s="2"/>
      <c r="I2" s="2"/>
      <c r="J2" s="2"/>
    </row>
    <row r="5" customFormat="false" ht="31.5" hidden="false" customHeight="true" outlineLevel="0" collapsed="false">
      <c r="A5" s="3" t="s">
        <v>142</v>
      </c>
      <c r="B5" s="3" t="s">
        <v>143</v>
      </c>
      <c r="C5" s="3" t="s">
        <v>144</v>
      </c>
      <c r="D5" s="3" t="s">
        <v>145</v>
      </c>
      <c r="E5" s="3" t="s">
        <v>146</v>
      </c>
      <c r="F5" s="3" t="s">
        <v>147</v>
      </c>
      <c r="G5" s="3" t="s">
        <v>148</v>
      </c>
      <c r="H5" s="3" t="s">
        <v>149</v>
      </c>
      <c r="I5" s="3" t="s">
        <v>150</v>
      </c>
      <c r="J5" s="3" t="s">
        <v>151</v>
      </c>
    </row>
    <row r="6" customFormat="false" ht="75" hidden="false" customHeight="true" outlineLevel="0" collapsed="false">
      <c r="A6" s="5" t="s">
        <v>152</v>
      </c>
      <c r="B6" s="14" t="s">
        <v>46</v>
      </c>
      <c r="C6" s="14" t="s">
        <v>91</v>
      </c>
      <c r="D6" s="13" t="n">
        <f aca="false">'07 計算前提'!B15</f>
        <v>3500</v>
      </c>
      <c r="E6" s="13" t="n">
        <v>0</v>
      </c>
      <c r="F6" s="6" t="n">
        <f aca="false">INDEX('01 制作プラン'!$C$6:$C$10,MATCH(B6,'01 制作プラン'!$A$6:$A$10,0))+E6</f>
        <v>79800</v>
      </c>
      <c r="G6" s="6" t="n">
        <f aca="false">INDEX('02 月額サポート'!$C$6:$C$10,MATCH(C6,'02 月額サポート'!$A$6:$A$10,0))+D6</f>
        <v>3500</v>
      </c>
      <c r="H6" s="6" t="n">
        <f aca="false">F6+G6*'07 計算前提'!$B$24</f>
        <v>121800</v>
      </c>
      <c r="I6" s="6" t="n">
        <f aca="false">F6+G6*'07 計算前提'!$B$24*3</f>
        <v>205800</v>
      </c>
      <c r="J6" s="6" t="n">
        <f aca="false">ROUND(I6*(1+'07 計算前提'!$B$6),0)</f>
        <v>226380</v>
      </c>
    </row>
    <row r="7" customFormat="false" ht="75" hidden="false" customHeight="true" outlineLevel="0" collapsed="false">
      <c r="A7" s="8" t="s">
        <v>153</v>
      </c>
      <c r="B7" s="14" t="s">
        <v>53</v>
      </c>
      <c r="C7" s="14" t="s">
        <v>91</v>
      </c>
      <c r="D7" s="13" t="n">
        <f aca="false">'07 計算前提'!B15</f>
        <v>3500</v>
      </c>
      <c r="E7" s="13" t="n">
        <v>0</v>
      </c>
      <c r="F7" s="9" t="n">
        <f aca="false">INDEX('01 制作プラン'!$C$6:$C$10,MATCH(B7,'01 制作プラン'!$A$6:$A$10,0))+E7</f>
        <v>198000</v>
      </c>
      <c r="G7" s="9" t="n">
        <f aca="false">INDEX('02 月額サポート'!$C$6:$C$10,MATCH(C7,'02 月額サポート'!$A$6:$A$10,0))+D7</f>
        <v>3500</v>
      </c>
      <c r="H7" s="9" t="n">
        <f aca="false">F7+G7*'07 計算前提'!$B$24</f>
        <v>240000</v>
      </c>
      <c r="I7" s="9" t="n">
        <f aca="false">F7+G7*'07 計算前提'!$B$24*3</f>
        <v>324000</v>
      </c>
      <c r="J7" s="9" t="n">
        <f aca="false">ROUND(I7*(1+'07 計算前提'!$B$6),0)</f>
        <v>356400</v>
      </c>
    </row>
    <row r="8" customFormat="false" ht="75" hidden="false" customHeight="true" outlineLevel="0" collapsed="false">
      <c r="A8" s="5" t="s">
        <v>154</v>
      </c>
      <c r="B8" s="14" t="s">
        <v>58</v>
      </c>
      <c r="C8" s="14" t="s">
        <v>91</v>
      </c>
      <c r="D8" s="13" t="n">
        <f aca="false">'07 計算前提'!B15</f>
        <v>3500</v>
      </c>
      <c r="E8" s="13" t="n">
        <v>0</v>
      </c>
      <c r="F8" s="6" t="n">
        <f aca="false">INDEX('01 制作プラン'!$C$6:$C$10,MATCH(B8,'01 制作プラン'!$A$6:$A$10,0))+E8</f>
        <v>398000</v>
      </c>
      <c r="G8" s="6" t="n">
        <f aca="false">INDEX('02 月額サポート'!$C$6:$C$10,MATCH(C8,'02 月額サポート'!$A$6:$A$10,0))+D8</f>
        <v>3500</v>
      </c>
      <c r="H8" s="6" t="n">
        <f aca="false">F8+G8*'07 計算前提'!$B$24</f>
        <v>440000</v>
      </c>
      <c r="I8" s="6" t="n">
        <f aca="false">F8+G8*'07 計算前提'!$B$24*3</f>
        <v>524000</v>
      </c>
      <c r="J8" s="6" t="n">
        <f aca="false">ROUND(I8*(1+'07 計算前提'!$B$6),0)</f>
        <v>576400</v>
      </c>
    </row>
    <row r="9" customFormat="false" ht="75" hidden="false" customHeight="true" outlineLevel="0" collapsed="false">
      <c r="A9" s="8" t="s">
        <v>155</v>
      </c>
      <c r="B9" s="14" t="s">
        <v>58</v>
      </c>
      <c r="C9" s="14" t="s">
        <v>91</v>
      </c>
      <c r="D9" s="13" t="n">
        <f aca="false">'07 計算前提'!B15+'07 計算前提'!B16</f>
        <v>8400</v>
      </c>
      <c r="E9" s="13" t="n">
        <v>0</v>
      </c>
      <c r="F9" s="9" t="n">
        <f aca="false">INDEX('01 制作プラン'!$C$6:$C$10,MATCH(B9,'01 制作プラン'!$A$6:$A$10,0))+E9</f>
        <v>398000</v>
      </c>
      <c r="G9" s="9" t="n">
        <f aca="false">INDEX('02 月額サポート'!$C$6:$C$10,MATCH(C9,'02 月額サポート'!$A$6:$A$10,0))+D9</f>
        <v>8400</v>
      </c>
      <c r="H9" s="9" t="n">
        <f aca="false">F9+G9*'07 計算前提'!$B$24</f>
        <v>498800</v>
      </c>
      <c r="I9" s="9" t="n">
        <f aca="false">F9+G9*'07 計算前提'!$B$24*3</f>
        <v>700400</v>
      </c>
      <c r="J9" s="9" t="n">
        <f aca="false">ROUND(I9*(1+'07 計算前提'!$B$6),0)</f>
        <v>770440</v>
      </c>
    </row>
    <row r="10" customFormat="false" ht="75" hidden="false" customHeight="true" outlineLevel="0" collapsed="false">
      <c r="A10" s="5" t="s">
        <v>156</v>
      </c>
      <c r="B10" s="14" t="s">
        <v>70</v>
      </c>
      <c r="C10" s="14" t="s">
        <v>91</v>
      </c>
      <c r="D10" s="13" t="n">
        <f aca="false">'07 計算前提'!B17</f>
        <v>10000</v>
      </c>
      <c r="E10" s="13" t="n">
        <v>0</v>
      </c>
      <c r="F10" s="6" t="n">
        <f aca="false">INDEX('01 制作プラン'!$C$6:$C$10,MATCH(B10,'01 制作プラン'!$A$6:$A$10,0))+E10</f>
        <v>898000</v>
      </c>
      <c r="G10" s="6" t="n">
        <f aca="false">INDEX('02 月額サポート'!$C$6:$C$10,MATCH(C10,'02 月額サポート'!$A$6:$A$10,0))+D10</f>
        <v>10000</v>
      </c>
      <c r="H10" s="6" t="n">
        <f aca="false">F10+G10*'07 計算前提'!$B$24</f>
        <v>1018000</v>
      </c>
      <c r="I10" s="6" t="n">
        <f aca="false">F10+G10*'07 計算前提'!$B$24*3</f>
        <v>1258000</v>
      </c>
      <c r="J10" s="6" t="n">
        <f aca="false">ROUND(I10*(1+'07 計算前提'!$B$6),0)</f>
        <v>1383800</v>
      </c>
    </row>
    <row r="11" customFormat="false" ht="75" hidden="false" customHeight="true" outlineLevel="0" collapsed="false">
      <c r="A11" s="8" t="s">
        <v>157</v>
      </c>
      <c r="B11" s="14" t="s">
        <v>70</v>
      </c>
      <c r="C11" s="14" t="s">
        <v>106</v>
      </c>
      <c r="D11" s="13" t="n">
        <f aca="false">'07 計算前提'!B17</f>
        <v>10000</v>
      </c>
      <c r="E11" s="13" t="n">
        <v>0</v>
      </c>
      <c r="F11" s="9" t="n">
        <f aca="false">INDEX('01 制作プラン'!$C$6:$C$10,MATCH(B11,'01 制作プラン'!$A$6:$A$10,0))+E11</f>
        <v>898000</v>
      </c>
      <c r="G11" s="9" t="n">
        <f aca="false">INDEX('02 月額サポート'!$C$6:$C$10,MATCH(C11,'02 月額サポート'!$A$6:$A$10,0))+D11</f>
        <v>39800</v>
      </c>
      <c r="H11" s="9" t="n">
        <f aca="false">F11+G11*'07 計算前提'!$B$24</f>
        <v>1375600</v>
      </c>
      <c r="I11" s="9" t="n">
        <f aca="false">F11+G11*'07 計算前提'!$B$24*3</f>
        <v>2330800</v>
      </c>
      <c r="J11" s="9" t="n">
        <f aca="false">ROUND(I11*(1+'07 計算前提'!$B$6),0)</f>
        <v>2563880</v>
      </c>
    </row>
    <row r="13" customFormat="false" ht="48" hidden="false" customHeight="true" outlineLevel="0" collapsed="false">
      <c r="A13" s="10" t="s">
        <v>158</v>
      </c>
      <c r="B13" s="10"/>
      <c r="C13" s="10"/>
      <c r="D13" s="10"/>
      <c r="E13" s="10"/>
      <c r="F13" s="10"/>
      <c r="G13" s="10"/>
      <c r="H13" s="10"/>
      <c r="I13" s="10"/>
      <c r="J13" s="10"/>
    </row>
    <row r="14" customFormat="false" ht="48" hidden="false" customHeight="true" outlineLevel="0" collapsed="false">
      <c r="A14" s="10" t="s">
        <v>159</v>
      </c>
      <c r="B14" s="10"/>
      <c r="C14" s="10"/>
      <c r="D14" s="10"/>
      <c r="E14" s="10"/>
      <c r="F14" s="10"/>
      <c r="G14" s="10"/>
      <c r="H14" s="10"/>
      <c r="I14" s="10"/>
      <c r="J14" s="10"/>
    </row>
  </sheetData>
  <autoFilter ref="A5:J11"/>
  <mergeCells count="4">
    <mergeCell ref="A1:J1"/>
    <mergeCell ref="A2:J2"/>
    <mergeCell ref="A13:J13"/>
    <mergeCell ref="A14:J14"/>
  </mergeCells>
  <dataValidations count="3">
    <dataValidation allowBlank="false" error="プラン名が一致しません。" errorStyle="stop" errorTitle="一覧から選択してください" operator="between" showDropDown="false" showErrorMessage="true" showInputMessage="false" sqref="B6:B11" type="list">
      <formula1>'01 制作プラン'!$A$6:$A$10</formula1>
      <formula2>0</formula2>
    </dataValidation>
    <dataValidation allowBlank="false" error="プラン名が一致しません。" errorStyle="stop" errorTitle="一覧から選択してください" operator="between" showDropDown="false" showErrorMessage="true" showInputMessage="false" sqref="C6:C11" type="list">
      <formula1>'02 月額サポート'!$A$6:$A$10</formula1>
      <formula2>0</formula2>
    </dataValidation>
    <dataValidation allowBlank="false" error="0 以上を入力してください。" errorStyle="stop" operator="greaterThanOrEqual" showDropDown="false" showErrorMessage="true" showInputMessage="false" sqref="D6:E11" type="decimal">
      <formula1>0</formula1>
      <formula2>0</formula2>
    </dataValidation>
  </dataValidations>
  <printOptions headings="false" gridLines="false" gridLinesSet="true" horizontalCentered="true" verticalCentered="false"/>
  <pageMargins left="0.25" right="0.25" top="0.35" bottom="0.3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291F"/>
    <pageSetUpPr fitToPage="true"/>
  </sheetPr>
  <dimension ref="A1:J1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28.72"/>
    <col collapsed="false" customWidth="true" hidden="false" outlineLevel="0" max="2" min="2" style="0" width="15.53"/>
    <col collapsed="false" customWidth="true" hidden="false" outlineLevel="0" max="3" min="3" style="0" width="16.3"/>
    <col collapsed="false" customWidth="true" hidden="false" outlineLevel="0" max="4" min="4" style="0" width="13.97"/>
    <col collapsed="false" customWidth="true" hidden="false" outlineLevel="0" max="7" min="5" style="0" width="17.85"/>
    <col collapsed="false" customWidth="true" hidden="false" outlineLevel="0" max="8" min="8" style="0" width="13.97"/>
    <col collapsed="false" customWidth="true" hidden="false" outlineLevel="0" max="10" min="9" style="0" width="15.53"/>
  </cols>
  <sheetData>
    <row r="1" customFormat="false" ht="42" hidden="false" customHeight="true" outlineLevel="0" collapsed="false">
      <c r="A1" s="1" t="s">
        <v>160</v>
      </c>
      <c r="B1" s="1"/>
      <c r="C1" s="1"/>
      <c r="D1" s="1"/>
      <c r="E1" s="1"/>
      <c r="F1" s="1"/>
      <c r="G1" s="1"/>
      <c r="H1" s="1"/>
      <c r="I1" s="1"/>
      <c r="J1" s="1"/>
    </row>
    <row r="2" customFormat="false" ht="39.75" hidden="false" customHeight="true" outlineLevel="0" collapsed="false">
      <c r="A2" s="2" t="s">
        <v>161</v>
      </c>
      <c r="B2" s="2"/>
      <c r="C2" s="2"/>
      <c r="D2" s="2"/>
      <c r="E2" s="2"/>
      <c r="F2" s="2"/>
      <c r="G2" s="2"/>
      <c r="H2" s="2"/>
      <c r="I2" s="2"/>
      <c r="J2" s="2"/>
    </row>
    <row r="5" customFormat="false" ht="31.5" hidden="false" customHeight="true" outlineLevel="0" collapsed="false">
      <c r="A5" s="3" t="s">
        <v>142</v>
      </c>
      <c r="B5" s="3" t="s">
        <v>162</v>
      </c>
      <c r="C5" s="3" t="s">
        <v>163</v>
      </c>
      <c r="D5" s="3" t="s">
        <v>164</v>
      </c>
      <c r="E5" s="3" t="s">
        <v>165</v>
      </c>
      <c r="F5" s="3" t="s">
        <v>166</v>
      </c>
      <c r="G5" s="3" t="s">
        <v>167</v>
      </c>
      <c r="H5" s="3" t="s">
        <v>168</v>
      </c>
      <c r="I5" s="3" t="s">
        <v>169</v>
      </c>
      <c r="J5" s="3" t="s">
        <v>170</v>
      </c>
    </row>
    <row r="6" customFormat="false" ht="60" hidden="false" customHeight="true" outlineLevel="0" collapsed="false">
      <c r="A6" s="4" t="str">
        <f aca="false">'06 受注構成'!A6</f>
        <v>土台 1 件のみ</v>
      </c>
      <c r="B6" s="6" t="n">
        <f aca="false">'06 受注構成'!B6*'07 計算前提'!F28+'06 受注構成'!C6*'07 計算前提'!F29+'06 受注構成'!D6*'07 計算前提'!F30+'06 受注構成'!E6*'07 計算前提'!F31+'06 受注構成'!F6*'07 計算前提'!F32+'06 受注構成'!G6*'07 計算前提'!F33+'06 受注構成'!H6*'07 計算前提'!F34+'06 受注構成'!I6*'07 計算前提'!F35+'06 受注構成'!J6*'07 計算前提'!F39+'06 受注構成'!K6*'07 計算前提'!F40+'06 受注構成'!L6*'07 計算前提'!F41</f>
        <v>198000</v>
      </c>
      <c r="C6" s="6" t="n">
        <f aca="false">'06 受注構成'!J6*'07 計算前提'!F39+'06 受注構成'!K6*'07 計算前提'!F40+'06 受注構成'!L6*'07 計算前提'!F41</f>
        <v>0</v>
      </c>
      <c r="D6" s="15" t="n">
        <f aca="false">'06 受注構成'!B6*'07 計算前提'!H28+'06 受注構成'!C6*'07 計算前提'!H29+'06 受注構成'!D6*'07 計算前提'!H30+'06 受注構成'!E6*'07 計算前提'!H31+'06 受注構成'!F6*'07 計算前提'!H32+'06 受注構成'!G6*'07 計算前提'!H33+'06 受注構成'!H6*'07 計算前提'!H34+'06 受注構成'!I6*'07 計算前提'!H35+'06 受注構成'!J6*'07 計算前提'!H39+'06 受注構成'!K6*'07 計算前提'!H40+'06 受注構成'!L6*'07 計算前提'!H41</f>
        <v>15</v>
      </c>
      <c r="E6" s="6" t="n">
        <f aca="false">'06 受注構成'!B6*'07 計算前提'!G28+'06 受注構成'!C6*'07 計算前提'!G29+'06 受注構成'!D6*'07 計算前提'!G30+'06 受注構成'!E6*'07 計算前提'!G31+'06 受注構成'!F6*'07 計算前提'!G32+'06 受注構成'!G6*'07 計算前提'!G33+'06 受注構成'!H6*'07 計算前提'!G34+'06 受注構成'!I6*'07 計算前提'!G35+'06 受注構成'!J6*'07 計算前提'!G39+'06 受注構成'!K6*'07 計算前提'!G40+'06 受注構成'!L6*'07 計算前提'!G41+B6*'07 計算前提'!$B$12</f>
        <v>20940</v>
      </c>
      <c r="F6" s="6" t="n">
        <f aca="false">B6-E6-'07 計算前提'!$B$11</f>
        <v>127060</v>
      </c>
      <c r="G6" s="6" t="n">
        <f aca="false">F6-'07 計算前提'!$B$7*'07 計算前提'!$B$10</f>
        <v>-572940</v>
      </c>
      <c r="H6" s="15" t="n">
        <f aca="false">D6*'07 計算前提'!$B$13</f>
        <v>18.75</v>
      </c>
      <c r="I6" s="15" t="n">
        <f aca="false">H6+SUM('06 受注構成'!J6:L6)*'07 計算前提'!$B$18</f>
        <v>18.75</v>
      </c>
      <c r="J6" s="4" t="str">
        <f aca="false">IF(I6&lt;='07 計算前提'!$B$21,"容量内","容量超過")</f>
        <v>容量内</v>
      </c>
    </row>
    <row r="7" customFormat="false" ht="60" hidden="false" customHeight="true" outlineLevel="0" collapsed="false">
      <c r="A7" s="7" t="str">
        <f aca="false">'06 受注構成'!A7</f>
        <v>旧案 CMS 2 件・各 30 時間</v>
      </c>
      <c r="B7" s="9" t="n">
        <f aca="false">'06 受注構成'!B7*'07 計算前提'!F28+'06 受注構成'!C7*'07 計算前提'!F29+'06 受注構成'!D7*'07 計算前提'!F30+'06 受注構成'!E7*'07 計算前提'!F31+'06 受注構成'!F7*'07 計算前提'!F32+'06 受注構成'!G7*'07 計算前提'!F33+'06 受注構成'!H7*'07 計算前提'!F34+'06 受注構成'!I7*'07 計算前提'!F35+'06 受注構成'!J7*'07 計算前提'!F39+'06 受注構成'!K7*'07 計算前提'!F40+'06 受注構成'!L7*'07 計算前提'!F41</f>
        <v>796000</v>
      </c>
      <c r="C7" s="9" t="n">
        <f aca="false">'06 受注構成'!J7*'07 計算前提'!F39+'06 受注構成'!K7*'07 計算前提'!F40+'06 受注構成'!L7*'07 計算前提'!F41</f>
        <v>0</v>
      </c>
      <c r="D7" s="16" t="n">
        <f aca="false">'06 受注構成'!B7*'07 計算前提'!H28+'06 受注構成'!C7*'07 計算前提'!H29+'06 受注構成'!D7*'07 計算前提'!H30+'06 受注構成'!E7*'07 計算前提'!H31+'06 受注構成'!F7*'07 計算前提'!H32+'06 受注構成'!G7*'07 計算前提'!H33+'06 受注構成'!H7*'07 計算前提'!H34+'06 受注構成'!I7*'07 計算前提'!H35+'06 受注構成'!J7*'07 計算前提'!H39+'06 受注構成'!K7*'07 計算前提'!H40+'06 受注構成'!L7*'07 計算前提'!H41</f>
        <v>60</v>
      </c>
      <c r="E7" s="9" t="n">
        <f aca="false">'06 受注構成'!B7*'07 計算前提'!G28+'06 受注構成'!C7*'07 計算前提'!G29+'06 受注構成'!D7*'07 計算前提'!G30+'06 受注構成'!E7*'07 計算前提'!G31+'06 受注構成'!F7*'07 計算前提'!G32+'06 受注構成'!G7*'07 計算前提'!G33+'06 受注構成'!H7*'07 計算前提'!G34+'06 受注構成'!I7*'07 計算前提'!G35+'06 受注構成'!J7*'07 計算前提'!G39+'06 受注構成'!K7*'07 計算前提'!G40+'06 受注構成'!L7*'07 計算前提'!G41+B7*'07 計算前提'!$B$12</f>
        <v>83880</v>
      </c>
      <c r="F7" s="9" t="n">
        <f aca="false">B7-E7-'07 計算前提'!$B$11</f>
        <v>662120</v>
      </c>
      <c r="G7" s="9" t="n">
        <f aca="false">F7-'07 計算前提'!$B$7*'07 計算前提'!$B$10</f>
        <v>-37880</v>
      </c>
      <c r="H7" s="16" t="n">
        <f aca="false">D7*'07 計算前提'!$B$13</f>
        <v>75</v>
      </c>
      <c r="I7" s="16" t="n">
        <f aca="false">H7+SUM('06 受注構成'!J7:L7)*'07 計算前提'!$B$18</f>
        <v>75</v>
      </c>
      <c r="J7" s="7" t="str">
        <f aca="false">IF(I7&lt;='07 計算前提'!$B$21,"容量内","容量超過")</f>
        <v>容量内</v>
      </c>
    </row>
    <row r="8" customFormat="false" ht="60" hidden="false" customHeight="true" outlineLevel="0" collapsed="false">
      <c r="A8" s="4" t="str">
        <f aca="false">'06 受注構成'!A8</f>
        <v>CMS 2 件・各 26 時間</v>
      </c>
      <c r="B8" s="6" t="n">
        <f aca="false">'06 受注構成'!B8*'07 計算前提'!F28+'06 受注構成'!C8*'07 計算前提'!F29+'06 受注構成'!D8*'07 計算前提'!F30+'06 受注構成'!E8*'07 計算前提'!F31+'06 受注構成'!F8*'07 計算前提'!F32+'06 受注構成'!G8*'07 計算前提'!F33+'06 受注構成'!H8*'07 計算前提'!F34+'06 受注構成'!I8*'07 計算前提'!F35+'06 受注構成'!J8*'07 計算前提'!F39+'06 受注構成'!K8*'07 計算前提'!F40+'06 受注構成'!L8*'07 計算前提'!F41</f>
        <v>796000</v>
      </c>
      <c r="C8" s="6" t="n">
        <f aca="false">'06 受注構成'!J8*'07 計算前提'!F39+'06 受注構成'!K8*'07 計算前提'!F40+'06 受注構成'!L8*'07 計算前提'!F41</f>
        <v>0</v>
      </c>
      <c r="D8" s="15" t="n">
        <f aca="false">'06 受注構成'!B8*'07 計算前提'!H28+'06 受注構成'!C8*'07 計算前提'!H29+'06 受注構成'!D8*'07 計算前提'!H30+'06 受注構成'!E8*'07 計算前提'!H31+'06 受注構成'!F8*'07 計算前提'!H32+'06 受注構成'!G8*'07 計算前提'!H33+'06 受注構成'!H8*'07 計算前提'!H34+'06 受注構成'!I8*'07 計算前提'!H35+'06 受注構成'!J8*'07 計算前提'!H39+'06 受注構成'!K8*'07 計算前提'!H40+'06 受注構成'!L8*'07 計算前提'!H41</f>
        <v>52</v>
      </c>
      <c r="E8" s="6" t="n">
        <f aca="false">'06 受注構成'!B8*'07 計算前提'!G28+'06 受注構成'!C8*'07 計算前提'!G29+'06 受注構成'!D8*'07 計算前提'!G30+'06 受注構成'!E8*'07 計算前提'!G31+'06 受注構成'!F8*'07 計算前提'!G32+'06 受注構成'!G8*'07 計算前提'!G33+'06 受注構成'!H8*'07 計算前提'!G34+'06 受注構成'!I8*'07 計算前提'!G35+'06 受注構成'!J8*'07 計算前提'!G39+'06 受注構成'!K8*'07 計算前提'!G40+'06 受注構成'!L8*'07 計算前提'!G41+B8*'07 計算前提'!$B$12</f>
        <v>83880</v>
      </c>
      <c r="F8" s="6" t="n">
        <f aca="false">B8-E8-'07 計算前提'!$B$11</f>
        <v>662120</v>
      </c>
      <c r="G8" s="6" t="n">
        <f aca="false">F8-'07 計算前提'!$B$7*'07 計算前提'!$B$10</f>
        <v>-37880</v>
      </c>
      <c r="H8" s="15" t="n">
        <f aca="false">D8*'07 計算前提'!$B$13</f>
        <v>65</v>
      </c>
      <c r="I8" s="15" t="n">
        <f aca="false">H8+SUM('06 受注構成'!J8:L8)*'07 計算前提'!$B$18</f>
        <v>65</v>
      </c>
      <c r="J8" s="4" t="str">
        <f aca="false">IF(I8&lt;='07 計算前提'!$B$21,"容量内","容量超過")</f>
        <v>容量内</v>
      </c>
    </row>
    <row r="9" customFormat="false" ht="60" hidden="false" customHeight="true" outlineLevel="0" collapsed="false">
      <c r="A9" s="7" t="str">
        <f aca="false">'06 受注構成'!A9</f>
        <v>CMS 2 件＋土台 1 件</v>
      </c>
      <c r="B9" s="9" t="n">
        <f aca="false">'06 受注構成'!B9*'07 計算前提'!F28+'06 受注構成'!C9*'07 計算前提'!F29+'06 受注構成'!D9*'07 計算前提'!F30+'06 受注構成'!E9*'07 計算前提'!F31+'06 受注構成'!F9*'07 計算前提'!F32+'06 受注構成'!G9*'07 計算前提'!F33+'06 受注構成'!H9*'07 計算前提'!F34+'06 受注構成'!I9*'07 計算前提'!F35+'06 受注構成'!J9*'07 計算前提'!F39+'06 受注構成'!K9*'07 計算前提'!F40+'06 受注構成'!L9*'07 計算前提'!F41</f>
        <v>994000</v>
      </c>
      <c r="C9" s="9" t="n">
        <f aca="false">'06 受注構成'!J9*'07 計算前提'!F39+'06 受注構成'!K9*'07 計算前提'!F40+'06 受注構成'!L9*'07 計算前提'!F41</f>
        <v>0</v>
      </c>
      <c r="D9" s="16" t="n">
        <f aca="false">'06 受注構成'!B9*'07 計算前提'!H28+'06 受注構成'!C9*'07 計算前提'!H29+'06 受注構成'!D9*'07 計算前提'!H30+'06 受注構成'!E9*'07 計算前提'!H31+'06 受注構成'!F9*'07 計算前提'!H32+'06 受注構成'!G9*'07 計算前提'!H33+'06 受注構成'!H9*'07 計算前提'!H34+'06 受注構成'!I9*'07 計算前提'!H35+'06 受注構成'!J9*'07 計算前提'!H39+'06 受注構成'!K9*'07 計算前提'!H40+'06 受注構成'!L9*'07 計算前提'!H41</f>
        <v>67</v>
      </c>
      <c r="E9" s="9" t="n">
        <f aca="false">'06 受注構成'!B9*'07 計算前提'!G28+'06 受注構成'!C9*'07 計算前提'!G29+'06 受注構成'!D9*'07 計算前提'!G30+'06 受注構成'!E9*'07 計算前提'!G31+'06 受注構成'!F9*'07 計算前提'!G32+'06 受注構成'!G9*'07 計算前提'!G33+'06 受注構成'!H9*'07 計算前提'!G34+'06 受注構成'!I9*'07 計算前提'!G35+'06 受注構成'!J9*'07 計算前提'!G39+'06 受注構成'!K9*'07 計算前提'!G40+'06 受注構成'!L9*'07 計算前提'!G41+B9*'07 計算前提'!$B$12</f>
        <v>104820</v>
      </c>
      <c r="F9" s="9" t="n">
        <f aca="false">B9-E9-'07 計算前提'!$B$11</f>
        <v>839180</v>
      </c>
      <c r="G9" s="9" t="n">
        <f aca="false">F9-'07 計算前提'!$B$7*'07 計算前提'!$B$10</f>
        <v>139180</v>
      </c>
      <c r="H9" s="16" t="n">
        <f aca="false">D9*'07 計算前提'!$B$13</f>
        <v>83.75</v>
      </c>
      <c r="I9" s="16" t="n">
        <f aca="false">H9+SUM('06 受注構成'!J9:L9)*'07 計算前提'!$B$18</f>
        <v>83.75</v>
      </c>
      <c r="J9" s="7" t="str">
        <f aca="false">IF(I9&lt;='07 計算前提'!$B$21,"容量内","容量超過")</f>
        <v>容量内</v>
      </c>
    </row>
    <row r="10" customFormat="false" ht="60" hidden="false" customHeight="true" outlineLevel="0" collapsed="false">
      <c r="A10" s="4" t="str">
        <f aca="false">'06 受注構成'!A10</f>
        <v>CMS 2 件＋整える 10 社＋育てる 3 社</v>
      </c>
      <c r="B10" s="6" t="n">
        <f aca="false">'06 受注構成'!B10*'07 計算前提'!F28+'06 受注構成'!C10*'07 計算前提'!F29+'06 受注構成'!D10*'07 計算前提'!F30+'06 受注構成'!E10*'07 計算前提'!F31+'06 受注構成'!F10*'07 計算前提'!F32+'06 受注構成'!G10*'07 計算前提'!F33+'06 受注構成'!H10*'07 計算前提'!F34+'06 受注構成'!I10*'07 計算前提'!F35+'06 受注構成'!J10*'07 計算前提'!F39+'06 受注構成'!K10*'07 計算前提'!F40+'06 受注構成'!L10*'07 計算前提'!F41</f>
        <v>983400</v>
      </c>
      <c r="C10" s="6" t="n">
        <f aca="false">'06 受注構成'!J10*'07 計算前提'!F39+'06 受注構成'!K10*'07 計算前提'!F40+'06 受注構成'!L10*'07 計算前提'!F41</f>
        <v>187400</v>
      </c>
      <c r="D10" s="15" t="n">
        <f aca="false">'06 受注構成'!B10*'07 計算前提'!H28+'06 受注構成'!C10*'07 計算前提'!H29+'06 受注構成'!D10*'07 計算前提'!H30+'06 受注構成'!E10*'07 計算前提'!H31+'06 受注構成'!F10*'07 計算前提'!H32+'06 受注構成'!G10*'07 計算前提'!H33+'06 受注構成'!H10*'07 計算前提'!H34+'06 受注構成'!I10*'07 計算前提'!H35+'06 受注構成'!J10*'07 計算前提'!H39+'06 受注構成'!K10*'07 計算前提'!H40+'06 受注構成'!L10*'07 計算前提'!H41</f>
        <v>66.25</v>
      </c>
      <c r="E10" s="6" t="n">
        <f aca="false">'06 受注構成'!B10*'07 計算前提'!G28+'06 受注構成'!C10*'07 計算前提'!G29+'06 受注構成'!D10*'07 計算前提'!G30+'06 受注構成'!E10*'07 計算前提'!G31+'06 受注構成'!F10*'07 計算前提'!G32+'06 受注構成'!G10*'07 計算前提'!G33+'06 受注構成'!H10*'07 計算前提'!G34+'06 受注構成'!I10*'07 計算前提'!G35+'06 受注構成'!J10*'07 計算前提'!G39+'06 受注構成'!K10*'07 計算前提'!G40+'06 受注構成'!L10*'07 計算前提'!G41+B10*'07 計算前提'!$B$12</f>
        <v>95602</v>
      </c>
      <c r="F10" s="6" t="n">
        <f aca="false">B10-E10-'07 計算前提'!$B$11</f>
        <v>837798</v>
      </c>
      <c r="G10" s="6" t="n">
        <f aca="false">F10-'07 計算前提'!$B$7*'07 計算前提'!$B$10</f>
        <v>137798</v>
      </c>
      <c r="H10" s="15" t="n">
        <f aca="false">D10*'07 計算前提'!$B$13</f>
        <v>82.8125</v>
      </c>
      <c r="I10" s="15" t="n">
        <f aca="false">H10+SUM('06 受注構成'!J10:L10)*'07 計算前提'!$B$18</f>
        <v>89.3125</v>
      </c>
      <c r="J10" s="4" t="str">
        <f aca="false">IF(I10&lt;='07 計算前提'!$B$21,"容量内","容量超過")</f>
        <v>容量超過</v>
      </c>
    </row>
    <row r="11" customFormat="false" ht="60" hidden="false" customHeight="true" outlineLevel="0" collapsed="false">
      <c r="A11" s="7" t="str">
        <f aca="false">'06 受注構成'!A11</f>
        <v>旧案開発 1 件＋土台 1 件</v>
      </c>
      <c r="B11" s="9" t="n">
        <f aca="false">'06 受注構成'!B11*'07 計算前提'!F28+'06 受注構成'!C11*'07 計算前提'!F29+'06 受注構成'!D11*'07 計算前提'!F30+'06 受注構成'!E11*'07 計算前提'!F31+'06 受注構成'!F11*'07 計算前提'!F32+'06 受注構成'!G11*'07 計算前提'!F33+'06 受注構成'!H11*'07 計算前提'!F34+'06 受注構成'!I11*'07 計算前提'!F35+'06 受注構成'!J11*'07 計算前提'!F39+'06 受注構成'!K11*'07 計算前提'!F40+'06 受注構成'!L11*'07 計算前提'!F41</f>
        <v>896000</v>
      </c>
      <c r="C11" s="9" t="n">
        <f aca="false">'06 受注構成'!J11*'07 計算前提'!F39+'06 受注構成'!K11*'07 計算前提'!F40+'06 受注構成'!L11*'07 計算前提'!F41</f>
        <v>0</v>
      </c>
      <c r="D11" s="16" t="n">
        <f aca="false">'06 受注構成'!B11*'07 計算前提'!H28+'06 受注構成'!C11*'07 計算前提'!H29+'06 受注構成'!D11*'07 計算前提'!H30+'06 受注構成'!E11*'07 計算前提'!H31+'06 受注構成'!F11*'07 計算前提'!H32+'06 受注構成'!G11*'07 計算前提'!H33+'06 受注構成'!H11*'07 計算前提'!H34+'06 受注構成'!I11*'07 計算前提'!H35+'06 受注構成'!J11*'07 計算前提'!H39+'06 受注構成'!K11*'07 計算前提'!H40+'06 受注構成'!L11*'07 計算前提'!H41</f>
        <v>65</v>
      </c>
      <c r="E11" s="9" t="n">
        <f aca="false">'06 受注構成'!B11*'07 計算前提'!G28+'06 受注構成'!C11*'07 計算前提'!G29+'06 受注構成'!D11*'07 計算前提'!G30+'06 受注構成'!E11*'07 計算前提'!G31+'06 受注構成'!F11*'07 計算前提'!G32+'06 受注構成'!G11*'07 計算前提'!G33+'06 受注構成'!H11*'07 計算前提'!G34+'06 受注構成'!I11*'07 計算前提'!G35+'06 受注構成'!J11*'07 計算前提'!G39+'06 受注構成'!K11*'07 計算前提'!G40+'06 受注構成'!L11*'07 計算前提'!G41+B11*'07 計算前提'!$B$12</f>
        <v>91880</v>
      </c>
      <c r="F11" s="9" t="n">
        <f aca="false">B11-E11-'07 計算前提'!$B$11</f>
        <v>754120</v>
      </c>
      <c r="G11" s="9" t="n">
        <f aca="false">F11-'07 計算前提'!$B$7*'07 計算前提'!$B$10</f>
        <v>54120</v>
      </c>
      <c r="H11" s="16" t="n">
        <f aca="false">D11*'07 計算前提'!$B$13</f>
        <v>81.25</v>
      </c>
      <c r="I11" s="16" t="n">
        <f aca="false">H11+SUM('06 受注構成'!J11:L11)*'07 計算前提'!$B$18</f>
        <v>81.25</v>
      </c>
      <c r="J11" s="7" t="str">
        <f aca="false">IF(I11&lt;='07 計算前提'!$B$21,"容量内","容量超過")</f>
        <v>容量内</v>
      </c>
    </row>
    <row r="12" customFormat="false" ht="60" hidden="false" customHeight="true" outlineLevel="0" collapsed="false">
      <c r="A12" s="4" t="str">
        <f aca="false">'06 受注構成'!A12</f>
        <v>独自機能 1 件＋土台 1 件</v>
      </c>
      <c r="B12" s="6" t="n">
        <f aca="false">'06 受注構成'!B12*'07 計算前提'!F28+'06 受注構成'!C12*'07 計算前提'!F29+'06 受注構成'!D12*'07 計算前提'!F30+'06 受注構成'!E12*'07 計算前提'!F31+'06 受注構成'!F12*'07 計算前提'!F32+'06 受注構成'!G12*'07 計算前提'!F33+'06 受注構成'!H12*'07 計算前提'!F34+'06 受注構成'!I12*'07 計算前提'!F35+'06 受注構成'!J12*'07 計算前提'!F39+'06 受注構成'!K12*'07 計算前提'!F40+'06 受注構成'!L12*'07 計算前提'!F41</f>
        <v>1096000</v>
      </c>
      <c r="C12" s="6" t="n">
        <f aca="false">'06 受注構成'!J12*'07 計算前提'!F39+'06 受注構成'!K12*'07 計算前提'!F40+'06 受注構成'!L12*'07 計算前提'!F41</f>
        <v>0</v>
      </c>
      <c r="D12" s="15" t="n">
        <f aca="false">'06 受注構成'!B12*'07 計算前提'!H28+'06 受注構成'!C12*'07 計算前提'!H29+'06 受注構成'!D12*'07 計算前提'!H30+'06 受注構成'!E12*'07 計算前提'!H31+'06 受注構成'!F12*'07 計算前提'!H32+'06 受注構成'!G12*'07 計算前提'!H33+'06 受注構成'!H12*'07 計算前提'!H34+'06 受注構成'!I12*'07 計算前提'!H35+'06 受注構成'!J12*'07 計算前提'!H39+'06 受注構成'!K12*'07 計算前提'!H40+'06 受注構成'!L12*'07 計算前提'!H41</f>
        <v>65</v>
      </c>
      <c r="E12" s="6" t="n">
        <f aca="false">'06 受注構成'!B12*'07 計算前提'!G28+'06 受注構成'!C12*'07 計算前提'!G29+'06 受注構成'!D12*'07 計算前提'!G30+'06 受注構成'!E12*'07 計算前提'!G31+'06 受注構成'!F12*'07 計算前提'!G32+'06 受注構成'!G12*'07 計算前提'!G33+'06 受注構成'!H12*'07 計算前提'!G34+'06 受注構成'!I12*'07 計算前提'!G35+'06 受注構成'!J12*'07 計算前提'!G39+'06 受注構成'!K12*'07 計算前提'!G40+'06 受注構成'!L12*'07 計算前提'!G41+B12*'07 計算前提'!$B$12</f>
        <v>97880</v>
      </c>
      <c r="F12" s="6" t="n">
        <f aca="false">B12-E12-'07 計算前提'!$B$11</f>
        <v>948120</v>
      </c>
      <c r="G12" s="6" t="n">
        <f aca="false">F12-'07 計算前提'!$B$7*'07 計算前提'!$B$10</f>
        <v>248120</v>
      </c>
      <c r="H12" s="15" t="n">
        <f aca="false">D12*'07 計算前提'!$B$13</f>
        <v>81.25</v>
      </c>
      <c r="I12" s="15" t="n">
        <f aca="false">H12+SUM('06 受注構成'!J12:L12)*'07 計算前提'!$B$18</f>
        <v>81.25</v>
      </c>
      <c r="J12" s="4" t="str">
        <f aca="false">IF(I12&lt;='07 計算前提'!$B$21,"容量内","容量超過")</f>
        <v>容量内</v>
      </c>
    </row>
    <row r="13" customFormat="false" ht="60" hidden="false" customHeight="true" outlineLevel="0" collapsed="false">
      <c r="A13" s="7" t="str">
        <f aca="false">'06 受注構成'!A13</f>
        <v>独自機能 1 件のみ</v>
      </c>
      <c r="B13" s="9" t="n">
        <f aca="false">'06 受注構成'!B13*'07 計算前提'!F28+'06 受注構成'!C13*'07 計算前提'!F29+'06 受注構成'!D13*'07 計算前提'!F30+'06 受注構成'!E13*'07 計算前提'!F31+'06 受注構成'!F13*'07 計算前提'!F32+'06 受注構成'!G13*'07 計算前提'!F33+'06 受注構成'!H13*'07 計算前提'!F34+'06 受注構成'!I13*'07 計算前提'!F35+'06 受注構成'!J13*'07 計算前提'!F39+'06 受注構成'!K13*'07 計算前提'!F40+'06 受注構成'!L13*'07 計算前提'!F41</f>
        <v>898000</v>
      </c>
      <c r="C13" s="9" t="n">
        <f aca="false">'06 受注構成'!J13*'07 計算前提'!F39+'06 受注構成'!K13*'07 計算前提'!F40+'06 受注構成'!L13*'07 計算前提'!F41</f>
        <v>0</v>
      </c>
      <c r="D13" s="16" t="n">
        <f aca="false">'06 受注構成'!B13*'07 計算前提'!H28+'06 受注構成'!C13*'07 計算前提'!H29+'06 受注構成'!D13*'07 計算前提'!H30+'06 受注構成'!E13*'07 計算前提'!H31+'06 受注構成'!F13*'07 計算前提'!H32+'06 受注構成'!G13*'07 計算前提'!H33+'06 受注構成'!H13*'07 計算前提'!H34+'06 受注構成'!I13*'07 計算前提'!H35+'06 受注構成'!J13*'07 計算前提'!H39+'06 受注構成'!K13*'07 計算前提'!H40+'06 受注構成'!L13*'07 計算前提'!H41</f>
        <v>50</v>
      </c>
      <c r="E13" s="9" t="n">
        <f aca="false">'06 受注構成'!B13*'07 計算前提'!G28+'06 受注構成'!C13*'07 計算前提'!G29+'06 受注構成'!D13*'07 計算前提'!G30+'06 受注構成'!E13*'07 計算前提'!G31+'06 受注構成'!F13*'07 計算前提'!G32+'06 受注構成'!G13*'07 計算前提'!G33+'06 受注構成'!H13*'07 計算前提'!G34+'06 受注構成'!I13*'07 計算前提'!G35+'06 受注構成'!J13*'07 計算前提'!G39+'06 受注構成'!K13*'07 計算前提'!G40+'06 受注構成'!L13*'07 計算前提'!G41+B13*'07 計算前提'!$B$12</f>
        <v>76940</v>
      </c>
      <c r="F13" s="9" t="n">
        <f aca="false">B13-E13-'07 計算前提'!$B$11</f>
        <v>771060</v>
      </c>
      <c r="G13" s="9" t="n">
        <f aca="false">F13-'07 計算前提'!$B$7*'07 計算前提'!$B$10</f>
        <v>71060</v>
      </c>
      <c r="H13" s="16" t="n">
        <f aca="false">D13*'07 計算前提'!$B$13</f>
        <v>62.5</v>
      </c>
      <c r="I13" s="16" t="n">
        <f aca="false">H13+SUM('06 受注構成'!J13:L13)*'07 計算前提'!$B$18</f>
        <v>62.5</v>
      </c>
      <c r="J13" s="7" t="str">
        <f aca="false">IF(I13&lt;='07 計算前提'!$B$21,"容量内","容量超過")</f>
        <v>容量内</v>
      </c>
    </row>
    <row r="14" customFormat="false" ht="60" hidden="false" customHeight="true" outlineLevel="0" collapsed="false">
      <c r="A14" s="4" t="str">
        <f aca="false">'06 受注構成'!A14</f>
        <v>入口 12 件</v>
      </c>
      <c r="B14" s="6" t="n">
        <f aca="false">'06 受注構成'!B14*'07 計算前提'!F28+'06 受注構成'!C14*'07 計算前提'!F29+'06 受注構成'!D14*'07 計算前提'!F30+'06 受注構成'!E14*'07 計算前提'!F31+'06 受注構成'!F14*'07 計算前提'!F32+'06 受注構成'!G14*'07 計算前提'!F33+'06 受注構成'!H14*'07 計算前提'!F34+'06 受注構成'!I14*'07 計算前提'!F35+'06 受注構成'!J14*'07 計算前提'!F39+'06 受注構成'!K14*'07 計算前提'!F40+'06 受注構成'!L14*'07 計算前提'!F41</f>
        <v>957600</v>
      </c>
      <c r="C14" s="6" t="n">
        <f aca="false">'06 受注構成'!J14*'07 計算前提'!F39+'06 受注構成'!K14*'07 計算前提'!F40+'06 受注構成'!L14*'07 計算前提'!F41</f>
        <v>0</v>
      </c>
      <c r="D14" s="15" t="n">
        <f aca="false">'06 受注構成'!B14*'07 計算前提'!H28+'06 受注構成'!C14*'07 計算前提'!H29+'06 受注構成'!D14*'07 計算前提'!H30+'06 受注構成'!E14*'07 計算前提'!H31+'06 受注構成'!F14*'07 計算前提'!H32+'06 受注構成'!G14*'07 計算前提'!H33+'06 受注構成'!H14*'07 計算前提'!H34+'06 受注構成'!I14*'07 計算前提'!H35+'06 受注構成'!J14*'07 計算前提'!H39+'06 受注構成'!K14*'07 計算前提'!H40+'06 受注構成'!L14*'07 計算前提'!H41</f>
        <v>66</v>
      </c>
      <c r="E14" s="6" t="n">
        <f aca="false">'06 受注構成'!B14*'07 計算前提'!G28+'06 受注構成'!C14*'07 計算前提'!G29+'06 受注構成'!D14*'07 計算前提'!G30+'06 受注構成'!E14*'07 計算前提'!G31+'06 受注構成'!F14*'07 計算前提'!G32+'06 受注構成'!G14*'07 計算前提'!G33+'06 受注構成'!H14*'07 計算前提'!G34+'06 受注構成'!I14*'07 計算前提'!G35+'06 受注構成'!J14*'07 計算前提'!G39+'06 受注構成'!K14*'07 計算前提'!G40+'06 受注構成'!L14*'07 計算前提'!G41+B14*'07 計算前提'!$B$12</f>
        <v>124728</v>
      </c>
      <c r="F14" s="6" t="n">
        <f aca="false">B14-E14-'07 計算前提'!$B$11</f>
        <v>782872</v>
      </c>
      <c r="G14" s="6" t="n">
        <f aca="false">F14-'07 計算前提'!$B$7*'07 計算前提'!$B$10</f>
        <v>82872</v>
      </c>
      <c r="H14" s="15" t="n">
        <f aca="false">D14*'07 計算前提'!$B$13</f>
        <v>82.5</v>
      </c>
      <c r="I14" s="15" t="n">
        <f aca="false">H14+SUM('06 受注構成'!J14:L14)*'07 計算前提'!$B$18</f>
        <v>82.5</v>
      </c>
      <c r="J14" s="4" t="str">
        <f aca="false">IF(I14&lt;='07 計算前提'!$B$21,"容量内","容量超過")</f>
        <v>容量内</v>
      </c>
    </row>
    <row r="15" customFormat="false" ht="60" hidden="false" customHeight="true" outlineLevel="0" collapsed="false">
      <c r="A15" s="7" t="str">
        <f aca="false">'06 受注構成'!A15</f>
        <v>既存モデルの受注構成</v>
      </c>
      <c r="B15" s="9" t="n">
        <f aca="false">'06 受注構成'!B15*'07 計算前提'!F28+'06 受注構成'!C15*'07 計算前提'!F29+'06 受注構成'!D15*'07 計算前提'!F30+'06 受注構成'!E15*'07 計算前提'!F31+'06 受注構成'!F15*'07 計算前提'!F32+'06 受注構成'!G15*'07 計算前提'!F33+'06 受注構成'!H15*'07 計算前提'!F34+'06 受注構成'!I15*'07 計算前提'!F35+'06 受注構成'!J15*'07 計算前提'!F39+'06 受注構成'!K15*'07 計算前提'!F40+'06 受注構成'!L15*'07 計算前提'!F41</f>
        <v>970600</v>
      </c>
      <c r="C15" s="9" t="n">
        <f aca="false">'06 受注構成'!J15*'07 計算前提'!F39+'06 受注構成'!K15*'07 計算前提'!F40+'06 受注構成'!L15*'07 計算前提'!F41</f>
        <v>374600</v>
      </c>
      <c r="D15" s="16" t="n">
        <f aca="false">'06 受注構成'!B15*'07 計算前提'!H28+'06 受注構成'!C15*'07 計算前提'!H29+'06 受注構成'!D15*'07 計算前提'!H30+'06 受注構成'!E15*'07 計算前提'!H31+'06 受注構成'!F15*'07 計算前提'!H32+'06 受注構成'!G15*'07 計算前提'!H33+'06 受注構成'!H15*'07 計算前提'!H34+'06 受注構成'!I15*'07 計算前提'!H35+'06 受注構成'!J15*'07 計算前提'!H39+'06 受注構成'!K15*'07 計算前提'!H40+'06 受注構成'!L15*'07 計算前提'!H41</f>
        <v>69.5</v>
      </c>
      <c r="E15" s="9" t="n">
        <f aca="false">'06 受注構成'!B15*'07 計算前提'!G28+'06 受注構成'!C15*'07 計算前提'!G29+'06 受注構成'!D15*'07 計算前提'!G30+'06 受注構成'!E15*'07 計算前提'!G31+'06 受注構成'!F15*'07 計算前提'!G32+'06 受注構成'!G15*'07 計算前提'!G33+'06 受注構成'!H15*'07 計算前提'!G34+'06 受注構成'!I15*'07 計算前提'!G35+'06 受注構成'!J15*'07 計算前提'!G39+'06 受注構成'!K15*'07 計算前提'!G40+'06 受注構成'!L15*'07 計算前提'!G41+B15*'07 計算前提'!$B$12</f>
        <v>87718</v>
      </c>
      <c r="F15" s="9" t="n">
        <f aca="false">B15-E15-'07 計算前提'!$B$11</f>
        <v>832882</v>
      </c>
      <c r="G15" s="9" t="n">
        <f aca="false">F15-'07 計算前提'!$B$7*'07 計算前提'!$B$10</f>
        <v>132882</v>
      </c>
      <c r="H15" s="16" t="n">
        <f aca="false">D15*'07 計算前提'!$B$13</f>
        <v>86.875</v>
      </c>
      <c r="I15" s="16" t="n">
        <f aca="false">H15+SUM('06 受注構成'!J15:L15)*'07 計算前提'!$B$18</f>
        <v>102.875</v>
      </c>
      <c r="J15" s="7" t="str">
        <f aca="false">IF(I15&lt;='07 計算前提'!$B$21,"容量内","容量超過")</f>
        <v>容量超過</v>
      </c>
    </row>
    <row r="17" customFormat="false" ht="48" hidden="false" customHeight="true" outlineLevel="0" collapsed="false">
      <c r="A17" s="10" t="s">
        <v>171</v>
      </c>
      <c r="B17" s="10"/>
      <c r="C17" s="10"/>
      <c r="D17" s="10"/>
      <c r="E17" s="10"/>
      <c r="F17" s="10"/>
      <c r="G17" s="10"/>
      <c r="H17" s="10"/>
      <c r="I17" s="10"/>
      <c r="J17" s="10"/>
    </row>
  </sheetData>
  <autoFilter ref="A5:J15"/>
  <mergeCells count="3">
    <mergeCell ref="A1:J1"/>
    <mergeCell ref="A2:J2"/>
    <mergeCell ref="A17:J17"/>
  </mergeCells>
  <conditionalFormatting sqref="G6:G15">
    <cfRule type="cellIs" priority="2" operator="lessThan" aboveAverage="0" equalAverage="0" bottom="0" percent="0" rank="0" text="" dxfId="7">
      <formula>0</formula>
    </cfRule>
  </conditionalFormatting>
  <printOptions headings="false" gridLines="false" gridLinesSet="true" horizontalCentered="true" verticalCentered="false"/>
  <pageMargins left="0.25" right="0.25" top="0.35" bottom="0.3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rowBreaks count="1" manualBreakCount="1">
    <brk id="18" man="true" max="16383" min="0"/>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291F"/>
    <pageSetUpPr fitToPage="true"/>
  </sheetPr>
  <dimension ref="A1:L1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28.72"/>
    <col collapsed="false" customWidth="true" hidden="false" outlineLevel="0" max="12" min="2" style="0" width="13.97"/>
  </cols>
  <sheetData>
    <row r="1" customFormat="false" ht="42" hidden="false" customHeight="true" outlineLevel="0" collapsed="false">
      <c r="A1" s="1" t="s">
        <v>172</v>
      </c>
      <c r="B1" s="1"/>
      <c r="C1" s="1"/>
      <c r="D1" s="1"/>
      <c r="E1" s="1"/>
      <c r="F1" s="1"/>
      <c r="G1" s="1"/>
      <c r="H1" s="1"/>
      <c r="I1" s="1"/>
      <c r="J1" s="1"/>
      <c r="K1" s="1"/>
      <c r="L1" s="1"/>
    </row>
    <row r="2" customFormat="false" ht="39.75" hidden="false" customHeight="true" outlineLevel="0" collapsed="false">
      <c r="A2" s="2" t="s">
        <v>173</v>
      </c>
      <c r="B2" s="2"/>
      <c r="C2" s="2"/>
      <c r="D2" s="2"/>
      <c r="E2" s="2"/>
      <c r="F2" s="2"/>
      <c r="G2" s="2"/>
      <c r="H2" s="2"/>
      <c r="I2" s="2"/>
      <c r="J2" s="2"/>
      <c r="K2" s="2"/>
      <c r="L2" s="2"/>
    </row>
    <row r="5" customFormat="false" ht="31.5" hidden="false" customHeight="true" outlineLevel="0" collapsed="false">
      <c r="A5" s="3" t="s">
        <v>142</v>
      </c>
      <c r="B5" s="3" t="s">
        <v>46</v>
      </c>
      <c r="C5" s="3" t="s">
        <v>53</v>
      </c>
      <c r="D5" s="3" t="s">
        <v>174</v>
      </c>
      <c r="E5" s="3" t="s">
        <v>175</v>
      </c>
      <c r="F5" s="3" t="s">
        <v>63</v>
      </c>
      <c r="G5" s="3" t="s">
        <v>176</v>
      </c>
      <c r="H5" s="3" t="s">
        <v>70</v>
      </c>
      <c r="I5" s="3" t="s">
        <v>177</v>
      </c>
      <c r="J5" s="3" t="s">
        <v>178</v>
      </c>
      <c r="K5" s="3" t="s">
        <v>179</v>
      </c>
      <c r="L5" s="3" t="s">
        <v>180</v>
      </c>
    </row>
    <row r="6" customFormat="false" ht="60" hidden="false" customHeight="true" outlineLevel="0" collapsed="false">
      <c r="A6" s="5" t="s">
        <v>181</v>
      </c>
      <c r="B6" s="13" t="n">
        <v>0</v>
      </c>
      <c r="C6" s="13" t="n">
        <v>1</v>
      </c>
      <c r="D6" s="13" t="n">
        <v>0</v>
      </c>
      <c r="E6" s="13" t="n">
        <v>0</v>
      </c>
      <c r="F6" s="13" t="n">
        <v>0</v>
      </c>
      <c r="G6" s="13" t="n">
        <v>0</v>
      </c>
      <c r="H6" s="13" t="n">
        <v>0</v>
      </c>
      <c r="I6" s="13" t="n">
        <v>0</v>
      </c>
      <c r="J6" s="13" t="n">
        <v>0</v>
      </c>
      <c r="K6" s="13" t="n">
        <v>0</v>
      </c>
      <c r="L6" s="13" t="n">
        <v>0</v>
      </c>
    </row>
    <row r="7" customFormat="false" ht="60" hidden="false" customHeight="true" outlineLevel="0" collapsed="false">
      <c r="A7" s="8" t="s">
        <v>182</v>
      </c>
      <c r="B7" s="13" t="n">
        <v>0</v>
      </c>
      <c r="C7" s="13" t="n">
        <v>0</v>
      </c>
      <c r="D7" s="13" t="n">
        <v>0</v>
      </c>
      <c r="E7" s="13" t="n">
        <v>2</v>
      </c>
      <c r="F7" s="13" t="n">
        <v>0</v>
      </c>
      <c r="G7" s="13" t="n">
        <v>0</v>
      </c>
      <c r="H7" s="13" t="n">
        <v>0</v>
      </c>
      <c r="I7" s="13" t="n">
        <v>0</v>
      </c>
      <c r="J7" s="13" t="n">
        <v>0</v>
      </c>
      <c r="K7" s="13" t="n">
        <v>0</v>
      </c>
      <c r="L7" s="13" t="n">
        <v>0</v>
      </c>
    </row>
    <row r="8" customFormat="false" ht="60" hidden="false" customHeight="true" outlineLevel="0" collapsed="false">
      <c r="A8" s="5" t="s">
        <v>183</v>
      </c>
      <c r="B8" s="13" t="n">
        <v>0</v>
      </c>
      <c r="C8" s="13" t="n">
        <v>0</v>
      </c>
      <c r="D8" s="13" t="n">
        <v>2</v>
      </c>
      <c r="E8" s="13" t="n">
        <v>0</v>
      </c>
      <c r="F8" s="13" t="n">
        <v>0</v>
      </c>
      <c r="G8" s="13" t="n">
        <v>0</v>
      </c>
      <c r="H8" s="13" t="n">
        <v>0</v>
      </c>
      <c r="I8" s="13" t="n">
        <v>0</v>
      </c>
      <c r="J8" s="13" t="n">
        <v>0</v>
      </c>
      <c r="K8" s="13" t="n">
        <v>0</v>
      </c>
      <c r="L8" s="13" t="n">
        <v>0</v>
      </c>
    </row>
    <row r="9" customFormat="false" ht="60" hidden="false" customHeight="true" outlineLevel="0" collapsed="false">
      <c r="A9" s="8" t="s">
        <v>184</v>
      </c>
      <c r="B9" s="13" t="n">
        <v>0</v>
      </c>
      <c r="C9" s="13" t="n">
        <v>1</v>
      </c>
      <c r="D9" s="13" t="n">
        <v>2</v>
      </c>
      <c r="E9" s="13" t="n">
        <v>0</v>
      </c>
      <c r="F9" s="13" t="n">
        <v>0</v>
      </c>
      <c r="G9" s="13" t="n">
        <v>0</v>
      </c>
      <c r="H9" s="13" t="n">
        <v>0</v>
      </c>
      <c r="I9" s="13" t="n">
        <v>0</v>
      </c>
      <c r="J9" s="13" t="n">
        <v>0</v>
      </c>
      <c r="K9" s="13" t="n">
        <v>0</v>
      </c>
      <c r="L9" s="13" t="n">
        <v>0</v>
      </c>
    </row>
    <row r="10" customFormat="false" ht="60" hidden="false" customHeight="true" outlineLevel="0" collapsed="false">
      <c r="A10" s="5" t="s">
        <v>185</v>
      </c>
      <c r="B10" s="13" t="n">
        <v>0</v>
      </c>
      <c r="C10" s="13" t="n">
        <v>0</v>
      </c>
      <c r="D10" s="13" t="n">
        <v>2</v>
      </c>
      <c r="E10" s="13" t="n">
        <v>0</v>
      </c>
      <c r="F10" s="13" t="n">
        <v>0</v>
      </c>
      <c r="G10" s="13" t="n">
        <v>0</v>
      </c>
      <c r="H10" s="13" t="n">
        <v>0</v>
      </c>
      <c r="I10" s="13" t="n">
        <v>0</v>
      </c>
      <c r="J10" s="13" t="n">
        <v>0</v>
      </c>
      <c r="K10" s="13" t="n">
        <v>10</v>
      </c>
      <c r="L10" s="13" t="n">
        <v>3</v>
      </c>
    </row>
    <row r="11" customFormat="false" ht="60" hidden="false" customHeight="true" outlineLevel="0" collapsed="false">
      <c r="A11" s="8" t="s">
        <v>186</v>
      </c>
      <c r="B11" s="13" t="n">
        <v>0</v>
      </c>
      <c r="C11" s="13" t="n">
        <v>1</v>
      </c>
      <c r="D11" s="13" t="n">
        <v>0</v>
      </c>
      <c r="E11" s="13" t="n">
        <v>0</v>
      </c>
      <c r="F11" s="13" t="n">
        <v>0</v>
      </c>
      <c r="G11" s="13" t="n">
        <v>1</v>
      </c>
      <c r="H11" s="13" t="n">
        <v>0</v>
      </c>
      <c r="I11" s="13" t="n">
        <v>0</v>
      </c>
      <c r="J11" s="13" t="n">
        <v>0</v>
      </c>
      <c r="K11" s="13" t="n">
        <v>0</v>
      </c>
      <c r="L11" s="13" t="n">
        <v>0</v>
      </c>
    </row>
    <row r="12" customFormat="false" ht="60" hidden="false" customHeight="true" outlineLevel="0" collapsed="false">
      <c r="A12" s="5" t="s">
        <v>187</v>
      </c>
      <c r="B12" s="13" t="n">
        <v>0</v>
      </c>
      <c r="C12" s="13" t="n">
        <v>1</v>
      </c>
      <c r="D12" s="13" t="n">
        <v>0</v>
      </c>
      <c r="E12" s="13" t="n">
        <v>0</v>
      </c>
      <c r="F12" s="13" t="n">
        <v>0</v>
      </c>
      <c r="G12" s="13" t="n">
        <v>0</v>
      </c>
      <c r="H12" s="13" t="n">
        <v>1</v>
      </c>
      <c r="I12" s="13" t="n">
        <v>0</v>
      </c>
      <c r="J12" s="13" t="n">
        <v>0</v>
      </c>
      <c r="K12" s="13" t="n">
        <v>0</v>
      </c>
      <c r="L12" s="13" t="n">
        <v>0</v>
      </c>
    </row>
    <row r="13" customFormat="false" ht="60" hidden="false" customHeight="true" outlineLevel="0" collapsed="false">
      <c r="A13" s="8" t="s">
        <v>188</v>
      </c>
      <c r="B13" s="13" t="n">
        <v>0</v>
      </c>
      <c r="C13" s="13" t="n">
        <v>0</v>
      </c>
      <c r="D13" s="13" t="n">
        <v>0</v>
      </c>
      <c r="E13" s="13" t="n">
        <v>0</v>
      </c>
      <c r="F13" s="13" t="n">
        <v>0</v>
      </c>
      <c r="G13" s="13" t="n">
        <v>0</v>
      </c>
      <c r="H13" s="13" t="n">
        <v>1</v>
      </c>
      <c r="I13" s="13" t="n">
        <v>0</v>
      </c>
      <c r="J13" s="13" t="n">
        <v>0</v>
      </c>
      <c r="K13" s="13" t="n">
        <v>0</v>
      </c>
      <c r="L13" s="13" t="n">
        <v>0</v>
      </c>
    </row>
    <row r="14" customFormat="false" ht="60" hidden="false" customHeight="true" outlineLevel="0" collapsed="false">
      <c r="A14" s="5" t="s">
        <v>189</v>
      </c>
      <c r="B14" s="13" t="n">
        <v>12</v>
      </c>
      <c r="C14" s="13" t="n">
        <v>0</v>
      </c>
      <c r="D14" s="13" t="n">
        <v>0</v>
      </c>
      <c r="E14" s="13" t="n">
        <v>0</v>
      </c>
      <c r="F14" s="13" t="n">
        <v>0</v>
      </c>
      <c r="G14" s="13" t="n">
        <v>0</v>
      </c>
      <c r="H14" s="13" t="n">
        <v>0</v>
      </c>
      <c r="I14" s="13" t="n">
        <v>0</v>
      </c>
      <c r="J14" s="13" t="n">
        <v>0</v>
      </c>
      <c r="K14" s="13" t="n">
        <v>0</v>
      </c>
      <c r="L14" s="13" t="n">
        <v>0</v>
      </c>
    </row>
    <row r="15" customFormat="false" ht="60" hidden="false" customHeight="true" outlineLevel="0" collapsed="false">
      <c r="A15" s="8" t="s">
        <v>190</v>
      </c>
      <c r="B15" s="13" t="n">
        <v>0</v>
      </c>
      <c r="C15" s="13" t="n">
        <v>1</v>
      </c>
      <c r="D15" s="13" t="n">
        <v>1</v>
      </c>
      <c r="E15" s="13" t="n">
        <v>0</v>
      </c>
      <c r="F15" s="13" t="n">
        <v>0</v>
      </c>
      <c r="G15" s="13" t="n">
        <v>0</v>
      </c>
      <c r="H15" s="13" t="n">
        <v>0</v>
      </c>
      <c r="I15" s="13" t="n">
        <v>0</v>
      </c>
      <c r="J15" s="13" t="n">
        <v>10</v>
      </c>
      <c r="K15" s="13" t="n">
        <v>16</v>
      </c>
      <c r="L15" s="13" t="n">
        <v>6</v>
      </c>
    </row>
    <row r="17" customFormat="false" ht="48" hidden="false" customHeight="true" outlineLevel="0" collapsed="false">
      <c r="A17" s="10" t="s">
        <v>191</v>
      </c>
      <c r="B17" s="10"/>
      <c r="C17" s="10"/>
      <c r="D17" s="10"/>
      <c r="E17" s="10"/>
      <c r="F17" s="10"/>
      <c r="G17" s="10"/>
      <c r="H17" s="10"/>
      <c r="I17" s="10"/>
      <c r="J17" s="10"/>
      <c r="K17" s="10"/>
      <c r="L17" s="10"/>
    </row>
  </sheetData>
  <autoFilter ref="A5:L15"/>
  <mergeCells count="3">
    <mergeCell ref="A1:L1"/>
    <mergeCell ref="A2:L2"/>
    <mergeCell ref="A17:L17"/>
  </mergeCells>
  <dataValidations count="1">
    <dataValidation allowBlank="false" error="0 以上を入力してください。" errorStyle="stop" operator="greaterThanOrEqual" showDropDown="false" showErrorMessage="true" showInputMessage="false" sqref="B6:L15" type="whole">
      <formula1>0</formula1>
      <formula2>0</formula2>
    </dataValidation>
  </dataValidations>
  <printOptions headings="false" gridLines="false" gridLinesSet="true" horizontalCentered="true" verticalCentered="false"/>
  <pageMargins left="0.25" right="0.25" top="0.35" bottom="0.3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291F"/>
    <pageSetUpPr fitToPage="true"/>
  </sheetPr>
  <dimension ref="A1:K4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22.51"/>
    <col collapsed="false" customWidth="true" hidden="false" outlineLevel="0" max="2" min="2" style="0" width="13.97"/>
    <col collapsed="false" customWidth="true" hidden="false" outlineLevel="0" max="3" min="3" style="0" width="10.87"/>
    <col collapsed="false" customWidth="true" hidden="false" outlineLevel="0" max="4" min="4" style="0" width="29.5"/>
    <col collapsed="false" customWidth="true" hidden="false" outlineLevel="0" max="5" min="5" style="0" width="20.18"/>
    <col collapsed="false" customWidth="true" hidden="false" outlineLevel="0" max="6" min="6" style="0" width="13.97"/>
    <col collapsed="false" customWidth="true" hidden="false" outlineLevel="0" max="7" min="7" style="0" width="15.53"/>
    <col collapsed="false" customWidth="true" hidden="false" outlineLevel="0" max="8" min="8" style="0" width="12.42"/>
    <col collapsed="false" customWidth="true" hidden="false" outlineLevel="0" max="9" min="9" style="0" width="14.75"/>
    <col collapsed="false" customWidth="true" hidden="false" outlineLevel="0" max="10" min="10" style="0" width="13.97"/>
    <col collapsed="false" customWidth="true" hidden="false" outlineLevel="0" max="11" min="11" style="0" width="17.85"/>
  </cols>
  <sheetData>
    <row r="1" customFormat="false" ht="42" hidden="false" customHeight="true" outlineLevel="0" collapsed="false">
      <c r="A1" s="1" t="s">
        <v>192</v>
      </c>
      <c r="B1" s="1"/>
      <c r="C1" s="1"/>
      <c r="D1" s="1"/>
      <c r="E1" s="1"/>
      <c r="F1" s="1"/>
      <c r="G1" s="1"/>
      <c r="H1" s="1"/>
      <c r="I1" s="1"/>
      <c r="J1" s="1"/>
      <c r="K1" s="1"/>
    </row>
    <row r="2" customFormat="false" ht="39.75" hidden="false" customHeight="true" outlineLevel="0" collapsed="false">
      <c r="A2" s="2" t="s">
        <v>193</v>
      </c>
      <c r="B2" s="2"/>
      <c r="C2" s="2"/>
      <c r="D2" s="2"/>
      <c r="E2" s="2"/>
      <c r="F2" s="2"/>
      <c r="G2" s="2"/>
      <c r="H2" s="2"/>
      <c r="I2" s="2"/>
      <c r="J2" s="2"/>
      <c r="K2" s="2"/>
    </row>
    <row r="5" customFormat="false" ht="31.5" hidden="false" customHeight="true" outlineLevel="0" collapsed="false">
      <c r="A5" s="3" t="s">
        <v>194</v>
      </c>
      <c r="B5" s="3" t="s">
        <v>195</v>
      </c>
      <c r="C5" s="3" t="s">
        <v>196</v>
      </c>
      <c r="D5" s="3" t="s">
        <v>197</v>
      </c>
      <c r="E5" s="3" t="s">
        <v>198</v>
      </c>
      <c r="F5" s="3" t="s">
        <v>199</v>
      </c>
      <c r="G5" s="3" t="s">
        <v>200</v>
      </c>
      <c r="H5" s="3" t="s">
        <v>201</v>
      </c>
      <c r="I5" s="3" t="s">
        <v>202</v>
      </c>
      <c r="J5" s="3" t="s">
        <v>203</v>
      </c>
      <c r="K5" s="3" t="s">
        <v>204</v>
      </c>
    </row>
    <row r="6" customFormat="false" ht="33.75" hidden="false" customHeight="true" outlineLevel="0" collapsed="false">
      <c r="A6" s="5" t="s">
        <v>205</v>
      </c>
      <c r="B6" s="17" t="n">
        <v>0.1</v>
      </c>
      <c r="C6" s="5" t="s">
        <v>206</v>
      </c>
      <c r="D6" s="5" t="s">
        <v>207</v>
      </c>
    </row>
    <row r="7" customFormat="false" ht="33.75" hidden="false" customHeight="true" outlineLevel="0" collapsed="false">
      <c r="A7" s="8" t="s">
        <v>208</v>
      </c>
      <c r="B7" s="13" t="n">
        <v>140</v>
      </c>
      <c r="C7" s="8" t="s">
        <v>209</v>
      </c>
      <c r="D7" s="8" t="s">
        <v>210</v>
      </c>
    </row>
    <row r="8" customFormat="false" ht="33.75" hidden="false" customHeight="true" outlineLevel="0" collapsed="false">
      <c r="A8" s="5" t="s">
        <v>211</v>
      </c>
      <c r="B8" s="13" t="n">
        <v>28</v>
      </c>
      <c r="C8" s="5" t="s">
        <v>212</v>
      </c>
      <c r="D8" s="5" t="s">
        <v>213</v>
      </c>
    </row>
    <row r="9" customFormat="false" ht="33.75" hidden="false" customHeight="true" outlineLevel="0" collapsed="false">
      <c r="A9" s="8" t="s">
        <v>214</v>
      </c>
      <c r="B9" s="13" t="n">
        <v>28</v>
      </c>
      <c r="C9" s="8" t="s">
        <v>212</v>
      </c>
      <c r="D9" s="8" t="s">
        <v>213</v>
      </c>
    </row>
    <row r="10" customFormat="false" ht="33.75" hidden="false" customHeight="true" outlineLevel="0" collapsed="false">
      <c r="A10" s="5" t="s">
        <v>215</v>
      </c>
      <c r="B10" s="13" t="n">
        <v>5000</v>
      </c>
      <c r="C10" s="5" t="s">
        <v>216</v>
      </c>
      <c r="D10" s="5" t="s">
        <v>217</v>
      </c>
    </row>
    <row r="11" customFormat="false" ht="33.75" hidden="false" customHeight="true" outlineLevel="0" collapsed="false">
      <c r="A11" s="8" t="s">
        <v>218</v>
      </c>
      <c r="B11" s="13" t="n">
        <v>50000</v>
      </c>
      <c r="C11" s="8" t="s">
        <v>219</v>
      </c>
      <c r="D11" s="8" t="s">
        <v>213</v>
      </c>
    </row>
    <row r="12" customFormat="false" ht="33.75" hidden="false" customHeight="true" outlineLevel="0" collapsed="false">
      <c r="A12" s="5" t="s">
        <v>220</v>
      </c>
      <c r="B12" s="17" t="n">
        <v>0.03</v>
      </c>
      <c r="C12" s="5" t="s">
        <v>206</v>
      </c>
      <c r="D12" s="5" t="s">
        <v>221</v>
      </c>
    </row>
    <row r="13" customFormat="false" ht="33.75" hidden="false" customHeight="true" outlineLevel="0" collapsed="false">
      <c r="A13" s="8" t="s">
        <v>222</v>
      </c>
      <c r="B13" s="18" t="n">
        <v>1.25</v>
      </c>
      <c r="C13" s="8" t="s">
        <v>223</v>
      </c>
      <c r="D13" s="8" t="s">
        <v>224</v>
      </c>
    </row>
    <row r="14" customFormat="false" ht="33.75" hidden="false" customHeight="true" outlineLevel="0" collapsed="false">
      <c r="A14" s="5" t="s">
        <v>225</v>
      </c>
      <c r="B14" s="17" t="n">
        <v>0.15</v>
      </c>
      <c r="C14" s="5" t="s">
        <v>206</v>
      </c>
      <c r="D14" s="5" t="s">
        <v>226</v>
      </c>
    </row>
    <row r="15" customFormat="false" ht="33.75" hidden="false" customHeight="true" outlineLevel="0" collapsed="false">
      <c r="A15" s="8" t="s">
        <v>227</v>
      </c>
      <c r="B15" s="13" t="n">
        <v>3500</v>
      </c>
      <c r="C15" s="8" t="s">
        <v>228</v>
      </c>
      <c r="D15" s="8" t="s">
        <v>229</v>
      </c>
    </row>
    <row r="16" customFormat="false" ht="33.75" hidden="false" customHeight="true" outlineLevel="0" collapsed="false">
      <c r="A16" s="5" t="s">
        <v>230</v>
      </c>
      <c r="B16" s="13" t="n">
        <v>4900</v>
      </c>
      <c r="C16" s="5" t="s">
        <v>228</v>
      </c>
      <c r="D16" s="5" t="s">
        <v>231</v>
      </c>
    </row>
    <row r="17" customFormat="false" ht="33.75" hidden="false" customHeight="true" outlineLevel="0" collapsed="false">
      <c r="A17" s="8" t="s">
        <v>232</v>
      </c>
      <c r="B17" s="13" t="n">
        <v>10000</v>
      </c>
      <c r="C17" s="8" t="s">
        <v>228</v>
      </c>
      <c r="D17" s="8" t="s">
        <v>233</v>
      </c>
    </row>
    <row r="18" customFormat="false" ht="33.75" hidden="false" customHeight="true" outlineLevel="0" collapsed="false">
      <c r="A18" s="5" t="s">
        <v>234</v>
      </c>
      <c r="B18" s="18" t="n">
        <v>0.5</v>
      </c>
      <c r="C18" s="5" t="s">
        <v>212</v>
      </c>
      <c r="D18" s="5" t="s">
        <v>235</v>
      </c>
    </row>
    <row r="19" customFormat="false" ht="33.75" hidden="false" customHeight="true" outlineLevel="0" collapsed="false">
      <c r="A19" s="8" t="s">
        <v>236</v>
      </c>
      <c r="B19" s="13" t="n">
        <v>24</v>
      </c>
      <c r="C19" s="8" t="s">
        <v>237</v>
      </c>
      <c r="D19" s="8" t="s">
        <v>238</v>
      </c>
    </row>
    <row r="20" customFormat="false" ht="33.75" hidden="false" customHeight="true" outlineLevel="0" collapsed="false">
      <c r="A20" s="5" t="s">
        <v>239</v>
      </c>
      <c r="B20" s="13" t="n">
        <v>60</v>
      </c>
      <c r="C20" s="5" t="s">
        <v>240</v>
      </c>
      <c r="D20" s="5" t="s">
        <v>241</v>
      </c>
    </row>
    <row r="21" customFormat="false" ht="33.75" hidden="false" customHeight="true" outlineLevel="0" collapsed="false">
      <c r="A21" s="8" t="s">
        <v>242</v>
      </c>
      <c r="B21" s="19" t="n">
        <f aca="false">B7-B8-B9</f>
        <v>84</v>
      </c>
      <c r="C21" s="8" t="s">
        <v>212</v>
      </c>
      <c r="D21" s="8" t="s">
        <v>243</v>
      </c>
    </row>
    <row r="22" customFormat="false" ht="33.75" hidden="false" customHeight="true" outlineLevel="0" collapsed="false">
      <c r="A22" s="5" t="s">
        <v>244</v>
      </c>
      <c r="B22" s="20" t="n">
        <f aca="false">IF(B13&gt;0,B21/B13,0)</f>
        <v>67.2</v>
      </c>
      <c r="C22" s="5" t="s">
        <v>212</v>
      </c>
      <c r="D22" s="5" t="s">
        <v>245</v>
      </c>
    </row>
    <row r="23" customFormat="false" ht="33.75" hidden="false" customHeight="true" outlineLevel="0" collapsed="false">
      <c r="A23" s="8" t="s">
        <v>246</v>
      </c>
      <c r="B23" s="21" t="n">
        <f aca="false">B7*B10+B11</f>
        <v>750000</v>
      </c>
      <c r="C23" s="8" t="s">
        <v>219</v>
      </c>
      <c r="D23" s="8" t="s">
        <v>247</v>
      </c>
    </row>
    <row r="24" customFormat="false" ht="33.75" hidden="false" customHeight="true" outlineLevel="0" collapsed="false">
      <c r="A24" s="5" t="s">
        <v>248</v>
      </c>
      <c r="B24" s="13" t="n">
        <v>12</v>
      </c>
      <c r="C24" s="5" t="s">
        <v>237</v>
      </c>
      <c r="D24" s="5" t="s">
        <v>249</v>
      </c>
    </row>
    <row r="25" customFormat="false" ht="33.75" hidden="false" customHeight="true" outlineLevel="0" collapsed="false">
      <c r="A25" s="8" t="s">
        <v>250</v>
      </c>
      <c r="B25" s="19" t="n">
        <f aca="false">IF(B22&gt;0,B23/B22,0)</f>
        <v>11160.7142857143</v>
      </c>
      <c r="C25" s="8" t="s">
        <v>216</v>
      </c>
      <c r="D25" s="8" t="s">
        <v>251</v>
      </c>
    </row>
    <row r="28" customFormat="false" ht="54.75" hidden="false" customHeight="true" outlineLevel="0" collapsed="false">
      <c r="A28" s="5" t="s">
        <v>46</v>
      </c>
      <c r="B28" s="5" t="s">
        <v>252</v>
      </c>
      <c r="C28" s="5" t="s">
        <v>253</v>
      </c>
      <c r="D28" s="5" t="s">
        <v>254</v>
      </c>
      <c r="E28" s="5"/>
      <c r="F28" s="6" t="n">
        <f aca="false">'01 制作プラン'!C6</f>
        <v>79800</v>
      </c>
      <c r="G28" s="13" t="n">
        <v>8000</v>
      </c>
      <c r="H28" s="18" t="n">
        <v>5.5</v>
      </c>
      <c r="I28" s="22" t="n">
        <f aca="false">F28*(1-$B$12)-G28-H28*$B$10</f>
        <v>41906</v>
      </c>
      <c r="J28" s="23" t="n">
        <f aca="false">IF(F28&gt;0,I28/F28,0)</f>
        <v>0.525137844611529</v>
      </c>
      <c r="K28" s="22" t="n">
        <f aca="false">IF(1-$B$12-$B$14&gt;0,(H28*$B$25+G28)/(1-$B$12-$B$14),0)</f>
        <v>84614.5470383275</v>
      </c>
    </row>
    <row r="29" customFormat="false" ht="54.75" hidden="false" customHeight="true" outlineLevel="0" collapsed="false">
      <c r="A29" s="8" t="s">
        <v>53</v>
      </c>
      <c r="B29" s="8" t="s">
        <v>252</v>
      </c>
      <c r="C29" s="8" t="s">
        <v>253</v>
      </c>
      <c r="D29" s="8" t="s">
        <v>254</v>
      </c>
      <c r="E29" s="8"/>
      <c r="F29" s="9" t="n">
        <f aca="false">'01 制作プラン'!C7</f>
        <v>198000</v>
      </c>
      <c r="G29" s="13" t="n">
        <v>15000</v>
      </c>
      <c r="H29" s="18" t="n">
        <v>15</v>
      </c>
      <c r="I29" s="21" t="n">
        <f aca="false">F29*(1-$B$12)-G29-H29*$B$10</f>
        <v>102060</v>
      </c>
      <c r="J29" s="24" t="n">
        <f aca="false">IF(F29&gt;0,I29/F29,0)</f>
        <v>0.515454545454546</v>
      </c>
      <c r="K29" s="21" t="n">
        <f aca="false">IF(1-$B$12-$B$14&gt;0,(H29*$B$25+G29)/(1-$B$12-$B$14),0)</f>
        <v>222452.090592334</v>
      </c>
    </row>
    <row r="30" customFormat="false" ht="54.75" hidden="false" customHeight="true" outlineLevel="0" collapsed="false">
      <c r="A30" s="5" t="s">
        <v>174</v>
      </c>
      <c r="B30" s="5" t="s">
        <v>252</v>
      </c>
      <c r="C30" s="5" t="s">
        <v>253</v>
      </c>
      <c r="D30" s="5" t="s">
        <v>254</v>
      </c>
      <c r="E30" s="5"/>
      <c r="F30" s="6" t="n">
        <f aca="false">'01 制作プラン'!C8</f>
        <v>398000</v>
      </c>
      <c r="G30" s="13" t="n">
        <v>30000</v>
      </c>
      <c r="H30" s="18" t="n">
        <v>26</v>
      </c>
      <c r="I30" s="22" t="n">
        <f aca="false">F30*(1-$B$12)-G30-H30*$B$10</f>
        <v>226060</v>
      </c>
      <c r="J30" s="23" t="n">
        <f aca="false">IF(F30&gt;0,I30/F30,0)</f>
        <v>0.567989949748744</v>
      </c>
      <c r="K30" s="22" t="n">
        <f aca="false">IF(1-$B$12-$B$14&gt;0,(H30*$B$25+G30)/(1-$B$12-$B$14),0)</f>
        <v>390461.672473868</v>
      </c>
    </row>
    <row r="31" customFormat="false" ht="54.75" hidden="false" customHeight="true" outlineLevel="0" collapsed="false">
      <c r="A31" s="8" t="s">
        <v>175</v>
      </c>
      <c r="B31" s="8" t="s">
        <v>255</v>
      </c>
      <c r="C31" s="8" t="s">
        <v>253</v>
      </c>
      <c r="D31" s="8" t="s">
        <v>254</v>
      </c>
      <c r="E31" s="8"/>
      <c r="F31" s="9" t="n">
        <f aca="false">'01 制作プラン'!C8</f>
        <v>398000</v>
      </c>
      <c r="G31" s="13" t="n">
        <v>30000</v>
      </c>
      <c r="H31" s="18" t="n">
        <v>30</v>
      </c>
      <c r="I31" s="21" t="n">
        <f aca="false">F31*(1-$B$12)-G31-H31*$B$10</f>
        <v>206060</v>
      </c>
      <c r="J31" s="24" t="n">
        <f aca="false">IF(F31&gt;0,I31/F31,0)</f>
        <v>0.517738693467337</v>
      </c>
      <c r="K31" s="21" t="n">
        <f aca="false">IF(1-$B$12-$B$14&gt;0,(H31*$B$25+G31)/(1-$B$12-$B$14),0)</f>
        <v>444904.181184669</v>
      </c>
    </row>
    <row r="32" customFormat="false" ht="54.75" hidden="false" customHeight="true" outlineLevel="0" collapsed="false">
      <c r="A32" s="5" t="s">
        <v>63</v>
      </c>
      <c r="B32" s="5" t="s">
        <v>252</v>
      </c>
      <c r="C32" s="5" t="s">
        <v>253</v>
      </c>
      <c r="D32" s="5" t="s">
        <v>254</v>
      </c>
      <c r="E32" s="5"/>
      <c r="F32" s="6" t="n">
        <f aca="false">'01 制作プラン'!C9</f>
        <v>598000</v>
      </c>
      <c r="G32" s="13" t="n">
        <v>40000</v>
      </c>
      <c r="H32" s="18" t="n">
        <v>36</v>
      </c>
      <c r="I32" s="22" t="n">
        <f aca="false">F32*(1-$B$12)-G32-H32*$B$10</f>
        <v>360060</v>
      </c>
      <c r="J32" s="23" t="n">
        <f aca="false">IF(F32&gt;0,I32/F32,0)</f>
        <v>0.602107023411371</v>
      </c>
      <c r="K32" s="22" t="n">
        <f aca="false">IF(1-$B$12-$B$14&gt;0,(H32*$B$25+G32)/(1-$B$12-$B$14),0)</f>
        <v>538763.066202091</v>
      </c>
    </row>
    <row r="33" customFormat="false" ht="54.75" hidden="false" customHeight="true" outlineLevel="0" collapsed="false">
      <c r="A33" s="8" t="s">
        <v>176</v>
      </c>
      <c r="B33" s="8" t="s">
        <v>255</v>
      </c>
      <c r="C33" s="8" t="s">
        <v>253</v>
      </c>
      <c r="D33" s="8" t="s">
        <v>254</v>
      </c>
      <c r="E33" s="8"/>
      <c r="F33" s="13" t="n">
        <v>698000</v>
      </c>
      <c r="G33" s="13" t="n">
        <v>50000</v>
      </c>
      <c r="H33" s="18" t="n">
        <v>50</v>
      </c>
      <c r="I33" s="21" t="n">
        <f aca="false">F33*(1-$B$12)-G33-H33*$B$10</f>
        <v>377060</v>
      </c>
      <c r="J33" s="24" t="n">
        <f aca="false">IF(F33&gt;0,I33/F33,0)</f>
        <v>0.540200573065903</v>
      </c>
      <c r="K33" s="21" t="n">
        <f aca="false">IF(1-$B$12-$B$14&gt;0,(H33*$B$25+G33)/(1-$B$12-$B$14),0)</f>
        <v>741506.968641115</v>
      </c>
    </row>
    <row r="34" customFormat="false" ht="54.75" hidden="false" customHeight="true" outlineLevel="0" collapsed="false">
      <c r="A34" s="5" t="s">
        <v>70</v>
      </c>
      <c r="B34" s="5" t="s">
        <v>252</v>
      </c>
      <c r="C34" s="5" t="s">
        <v>253</v>
      </c>
      <c r="D34" s="5" t="s">
        <v>254</v>
      </c>
      <c r="E34" s="5" t="s">
        <v>256</v>
      </c>
      <c r="F34" s="6" t="n">
        <f aca="false">'01 制作プラン'!C10</f>
        <v>898000</v>
      </c>
      <c r="G34" s="13" t="n">
        <v>50000</v>
      </c>
      <c r="H34" s="18" t="n">
        <v>50</v>
      </c>
      <c r="I34" s="22" t="n">
        <f aca="false">F34*(1-$B$12)-G34-H34*$B$10</f>
        <v>571060</v>
      </c>
      <c r="J34" s="23" t="n">
        <f aca="false">IF(F34&gt;0,I34/F34,0)</f>
        <v>0.635924276169265</v>
      </c>
      <c r="K34" s="22" t="n">
        <f aca="false">IF(1-$B$12-$B$14&gt;0,(H34*$B$25+G34)/(1-$B$12-$B$14),0)</f>
        <v>741506.968641115</v>
      </c>
    </row>
    <row r="35" customFormat="false" ht="54.75" hidden="false" customHeight="true" outlineLevel="0" collapsed="false">
      <c r="A35" s="8" t="s">
        <v>177</v>
      </c>
      <c r="B35" s="8" t="s">
        <v>252</v>
      </c>
      <c r="C35" s="8" t="s">
        <v>253</v>
      </c>
      <c r="D35" s="8" t="s">
        <v>254</v>
      </c>
      <c r="E35" s="8"/>
      <c r="F35" s="9" t="n">
        <f aca="false">'01 制作プラン'!C11</f>
        <v>55000</v>
      </c>
      <c r="G35" s="13" t="n">
        <v>2000</v>
      </c>
      <c r="H35" s="18" t="n">
        <v>3</v>
      </c>
      <c r="I35" s="21" t="n">
        <f aca="false">F35*(1-$B$12)-G35-H35*$B$10</f>
        <v>36350</v>
      </c>
      <c r="J35" s="24" t="n">
        <f aca="false">IF(F35&gt;0,I35/F35,0)</f>
        <v>0.660909090909091</v>
      </c>
      <c r="K35" s="21" t="n">
        <f aca="false">IF(1-$B$12-$B$14&gt;0,(H35*$B$25+G35)/(1-$B$12-$B$14),0)</f>
        <v>43270.9059233449</v>
      </c>
    </row>
    <row r="38" customFormat="false" ht="48" hidden="false" customHeight="true" outlineLevel="0" collapsed="false">
      <c r="A38" s="5" t="s">
        <v>91</v>
      </c>
      <c r="B38" s="5" t="s">
        <v>257</v>
      </c>
      <c r="C38" s="5" t="s">
        <v>15</v>
      </c>
      <c r="D38" s="5" t="s">
        <v>258</v>
      </c>
      <c r="E38" s="5" t="s">
        <v>259</v>
      </c>
      <c r="F38" s="6" t="n">
        <f aca="false">'02 月額サポート'!C6</f>
        <v>0</v>
      </c>
      <c r="G38" s="13" t="n">
        <v>0</v>
      </c>
      <c r="H38" s="18" t="n">
        <v>0</v>
      </c>
      <c r="I38" s="22" t="n">
        <f aca="false">F38*(1-$B$12)-G38-H38*$B$10</f>
        <v>0</v>
      </c>
      <c r="J38" s="23" t="n">
        <f aca="false">IF(F38&gt;0,I38/F38,0)</f>
        <v>0</v>
      </c>
    </row>
    <row r="39" customFormat="false" ht="48" hidden="false" customHeight="true" outlineLevel="0" collapsed="false">
      <c r="A39" s="8" t="s">
        <v>96</v>
      </c>
      <c r="B39" s="8" t="s">
        <v>257</v>
      </c>
      <c r="C39" s="8" t="s">
        <v>15</v>
      </c>
      <c r="D39" s="8" t="s">
        <v>258</v>
      </c>
      <c r="E39" s="8" t="s">
        <v>259</v>
      </c>
      <c r="F39" s="9" t="n">
        <f aca="false">'02 月額サポート'!C7</f>
        <v>3900</v>
      </c>
      <c r="G39" s="13" t="n">
        <v>300</v>
      </c>
      <c r="H39" s="18" t="n">
        <v>0.3</v>
      </c>
      <c r="I39" s="21" t="n">
        <f aca="false">F39*(1-$B$12)-G39-H39*$B$10</f>
        <v>1983</v>
      </c>
      <c r="J39" s="24" t="n">
        <f aca="false">IF(F39&gt;0,I39/F39,0)</f>
        <v>0.508461538461538</v>
      </c>
    </row>
    <row r="40" customFormat="false" ht="48" hidden="false" customHeight="true" outlineLevel="0" collapsed="false">
      <c r="A40" s="5" t="s">
        <v>99</v>
      </c>
      <c r="B40" s="5" t="s">
        <v>257</v>
      </c>
      <c r="C40" s="5" t="s">
        <v>15</v>
      </c>
      <c r="D40" s="5" t="s">
        <v>258</v>
      </c>
      <c r="E40" s="5" t="s">
        <v>259</v>
      </c>
      <c r="F40" s="6" t="n">
        <f aca="false">'02 月額サポート'!C8</f>
        <v>9800</v>
      </c>
      <c r="G40" s="13" t="n">
        <v>400</v>
      </c>
      <c r="H40" s="18" t="n">
        <v>0.75</v>
      </c>
      <c r="I40" s="22" t="n">
        <f aca="false">F40*(1-$B$12)-G40-H40*$B$10</f>
        <v>5356</v>
      </c>
      <c r="J40" s="23" t="n">
        <f aca="false">IF(F40&gt;0,I40/F40,0)</f>
        <v>0.546530612244898</v>
      </c>
    </row>
    <row r="41" customFormat="false" ht="48" hidden="false" customHeight="true" outlineLevel="0" collapsed="false">
      <c r="A41" s="8" t="s">
        <v>103</v>
      </c>
      <c r="B41" s="8" t="s">
        <v>257</v>
      </c>
      <c r="C41" s="8" t="s">
        <v>15</v>
      </c>
      <c r="D41" s="8" t="s">
        <v>258</v>
      </c>
      <c r="E41" s="8" t="s">
        <v>259</v>
      </c>
      <c r="F41" s="9" t="n">
        <f aca="false">'02 月額サポート'!C9</f>
        <v>29800</v>
      </c>
      <c r="G41" s="13" t="n">
        <v>700</v>
      </c>
      <c r="H41" s="18" t="n">
        <v>2.25</v>
      </c>
      <c r="I41" s="21" t="n">
        <f aca="false">F41*(1-$B$12)-G41-H41*$B$10</f>
        <v>16956</v>
      </c>
      <c r="J41" s="24" t="n">
        <f aca="false">IF(F41&gt;0,I41/F41,0)</f>
        <v>0.568993288590604</v>
      </c>
    </row>
    <row r="43" customFormat="false" ht="48" hidden="false" customHeight="true" outlineLevel="0" collapsed="false">
      <c r="A43" s="10" t="s">
        <v>260</v>
      </c>
      <c r="B43" s="10"/>
      <c r="C43" s="10"/>
      <c r="D43" s="10"/>
      <c r="E43" s="10"/>
      <c r="F43" s="10"/>
      <c r="G43" s="10"/>
      <c r="H43" s="10"/>
      <c r="I43" s="10"/>
      <c r="J43" s="10"/>
      <c r="K43" s="10"/>
    </row>
  </sheetData>
  <mergeCells count="3">
    <mergeCell ref="A1:K1"/>
    <mergeCell ref="A2:K2"/>
    <mergeCell ref="A43:K43"/>
  </mergeCells>
  <dataValidations count="3">
    <dataValidation allowBlank="false" error="0 以上を入力してください。" errorStyle="stop" operator="greaterThanOrEqual" showDropDown="false" showErrorMessage="true" showInputMessage="false" sqref="B6:B20" type="decimal">
      <formula1>0</formula1>
      <formula2>0</formula2>
    </dataValidation>
    <dataValidation allowBlank="false" error="0 以上を入力してください。" errorStyle="stop" operator="greaterThanOrEqual" showDropDown="false" showErrorMessage="true" showInputMessage="false" sqref="G28:H35" type="decimal">
      <formula1>0</formula1>
      <formula2>0</formula2>
    </dataValidation>
    <dataValidation allowBlank="false" error="0 以上を入力してください。" errorStyle="stop" operator="greaterThanOrEqual" showDropDown="false" showErrorMessage="true" showInputMessage="false" sqref="G38:H41" type="decimal">
      <formula1>0</formula1>
      <formula2>0</formula2>
    </dataValidation>
  </dataValidations>
  <printOptions headings="false" gridLines="false" gridLinesSet="true" horizontalCentered="true" verticalCentered="false"/>
  <pageMargins left="0.25" right="0.25" top="0.35" bottom="0.3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291F"/>
    <pageSetUpPr fitToPage="true"/>
  </sheetPr>
  <dimension ref="A1:D2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6.734375" defaultRowHeight="15" customHeight="false" zeroHeight="false" outlineLevelRow="0" outlineLevelCol="0"/>
  <cols>
    <col collapsed="false" customWidth="true" hidden="false" outlineLevel="0" max="1" min="1" style="0" width="17.85"/>
    <col collapsed="false" customWidth="true" hidden="false" outlineLevel="0" max="2" min="2" style="0" width="25.61"/>
    <col collapsed="false" customWidth="true" hidden="false" outlineLevel="0" max="3" min="3" style="0" width="77.62"/>
    <col collapsed="false" customWidth="true" hidden="false" outlineLevel="0" max="4" min="4" style="0" width="54.33"/>
  </cols>
  <sheetData>
    <row r="1" customFormat="false" ht="42" hidden="false" customHeight="true" outlineLevel="0" collapsed="false">
      <c r="A1" s="1" t="s">
        <v>261</v>
      </c>
      <c r="B1" s="1"/>
      <c r="C1" s="1"/>
      <c r="D1" s="1"/>
    </row>
    <row r="2" customFormat="false" ht="39.75" hidden="false" customHeight="true" outlineLevel="0" collapsed="false">
      <c r="A2" s="2" t="s">
        <v>262</v>
      </c>
      <c r="B2" s="2"/>
      <c r="C2" s="2"/>
      <c r="D2" s="2"/>
    </row>
    <row r="5" customFormat="false" ht="31.5" hidden="false" customHeight="true" outlineLevel="0" collapsed="false">
      <c r="A5" s="3" t="s">
        <v>3</v>
      </c>
      <c r="B5" s="3" t="s">
        <v>263</v>
      </c>
      <c r="C5" s="3" t="s">
        <v>264</v>
      </c>
      <c r="D5" s="3" t="s">
        <v>265</v>
      </c>
    </row>
    <row r="6" customFormat="false" ht="75.75" hidden="false" customHeight="true" outlineLevel="0" collapsed="false">
      <c r="A6" s="5" t="s">
        <v>266</v>
      </c>
      <c r="B6" s="5" t="s">
        <v>267</v>
      </c>
      <c r="C6" s="5" t="s">
        <v>268</v>
      </c>
      <c r="D6" s="5" t="s">
        <v>269</v>
      </c>
    </row>
    <row r="7" customFormat="false" ht="75.75" hidden="false" customHeight="true" outlineLevel="0" collapsed="false">
      <c r="A7" s="8" t="s">
        <v>266</v>
      </c>
      <c r="B7" s="8" t="s">
        <v>270</v>
      </c>
      <c r="C7" s="8" t="s">
        <v>271</v>
      </c>
      <c r="D7" s="8" t="s">
        <v>269</v>
      </c>
    </row>
    <row r="8" customFormat="false" ht="75.75" hidden="false" customHeight="true" outlineLevel="0" collapsed="false">
      <c r="A8" s="5" t="s">
        <v>266</v>
      </c>
      <c r="B8" s="5" t="s">
        <v>272</v>
      </c>
      <c r="C8" s="5" t="s">
        <v>273</v>
      </c>
      <c r="D8" s="5" t="s">
        <v>274</v>
      </c>
    </row>
    <row r="9" customFormat="false" ht="75.75" hidden="false" customHeight="true" outlineLevel="0" collapsed="false">
      <c r="A9" s="8" t="s">
        <v>266</v>
      </c>
      <c r="B9" s="8" t="s">
        <v>275</v>
      </c>
      <c r="C9" s="8" t="s">
        <v>276</v>
      </c>
      <c r="D9" s="8" t="s">
        <v>277</v>
      </c>
    </row>
    <row r="10" customFormat="false" ht="75.75" hidden="false" customHeight="true" outlineLevel="0" collapsed="false">
      <c r="A10" s="5" t="s">
        <v>266</v>
      </c>
      <c r="B10" s="5" t="s">
        <v>278</v>
      </c>
      <c r="C10" s="5" t="s">
        <v>279</v>
      </c>
      <c r="D10" s="5" t="s">
        <v>280</v>
      </c>
    </row>
    <row r="11" customFormat="false" ht="75.75" hidden="false" customHeight="true" outlineLevel="0" collapsed="false">
      <c r="A11" s="8" t="s">
        <v>77</v>
      </c>
      <c r="B11" s="8" t="s">
        <v>281</v>
      </c>
      <c r="C11" s="8" t="s">
        <v>282</v>
      </c>
      <c r="D11" s="8" t="s">
        <v>280</v>
      </c>
    </row>
    <row r="12" customFormat="false" ht="75.75" hidden="false" customHeight="true" outlineLevel="0" collapsed="false">
      <c r="A12" s="5" t="s">
        <v>77</v>
      </c>
      <c r="B12" s="5" t="s">
        <v>283</v>
      </c>
      <c r="C12" s="5" t="s">
        <v>284</v>
      </c>
      <c r="D12" s="5" t="s">
        <v>269</v>
      </c>
    </row>
    <row r="13" customFormat="false" ht="75.75" hidden="false" customHeight="true" outlineLevel="0" collapsed="false">
      <c r="A13" s="8" t="s">
        <v>285</v>
      </c>
      <c r="B13" s="8" t="s">
        <v>286</v>
      </c>
      <c r="C13" s="8" t="s">
        <v>287</v>
      </c>
      <c r="D13" s="8" t="s">
        <v>280</v>
      </c>
    </row>
    <row r="14" customFormat="false" ht="75.75" hidden="false" customHeight="true" outlineLevel="0" collapsed="false">
      <c r="A14" s="5" t="s">
        <v>288</v>
      </c>
      <c r="B14" s="5" t="s">
        <v>289</v>
      </c>
      <c r="C14" s="5" t="s">
        <v>290</v>
      </c>
      <c r="D14" s="5" t="s">
        <v>291</v>
      </c>
    </row>
    <row r="15" customFormat="false" ht="75.75" hidden="false" customHeight="true" outlineLevel="0" collapsed="false">
      <c r="A15" s="8" t="s">
        <v>292</v>
      </c>
      <c r="B15" s="8" t="s">
        <v>293</v>
      </c>
      <c r="C15" s="8" t="s">
        <v>294</v>
      </c>
      <c r="D15" s="8" t="s">
        <v>295</v>
      </c>
    </row>
    <row r="16" customFormat="false" ht="75.75" hidden="false" customHeight="true" outlineLevel="0" collapsed="false">
      <c r="A16" s="5" t="s">
        <v>296</v>
      </c>
      <c r="B16" s="5" t="s">
        <v>297</v>
      </c>
      <c r="C16" s="5" t="s">
        <v>298</v>
      </c>
      <c r="D16" s="5" t="s">
        <v>299</v>
      </c>
    </row>
    <row r="17" customFormat="false" ht="75.75" hidden="false" customHeight="true" outlineLevel="0" collapsed="false">
      <c r="A17" s="8" t="s">
        <v>300</v>
      </c>
      <c r="B17" s="8" t="s">
        <v>301</v>
      </c>
      <c r="C17" s="8" t="s">
        <v>302</v>
      </c>
      <c r="D17" s="8" t="s">
        <v>303</v>
      </c>
    </row>
    <row r="18" customFormat="false" ht="75.75" hidden="false" customHeight="true" outlineLevel="0" collapsed="false">
      <c r="A18" s="5" t="s">
        <v>304</v>
      </c>
      <c r="B18" s="5" t="s">
        <v>305</v>
      </c>
      <c r="C18" s="5" t="s">
        <v>306</v>
      </c>
      <c r="D18" s="5" t="s">
        <v>307</v>
      </c>
    </row>
    <row r="19" customFormat="false" ht="75.75" hidden="false" customHeight="true" outlineLevel="0" collapsed="false">
      <c r="A19" s="8" t="s">
        <v>304</v>
      </c>
      <c r="B19" s="8" t="s">
        <v>308</v>
      </c>
      <c r="C19" s="8" t="s">
        <v>309</v>
      </c>
      <c r="D19" s="8" t="s">
        <v>310</v>
      </c>
    </row>
    <row r="20" customFormat="false" ht="75.75" hidden="false" customHeight="true" outlineLevel="0" collapsed="false">
      <c r="A20" s="5" t="s">
        <v>304</v>
      </c>
      <c r="B20" s="5" t="s">
        <v>311</v>
      </c>
      <c r="C20" s="5" t="s">
        <v>312</v>
      </c>
      <c r="D20" s="5" t="s">
        <v>313</v>
      </c>
    </row>
  </sheetData>
  <autoFilter ref="A5:D20"/>
  <mergeCells count="2">
    <mergeCell ref="A1:D1"/>
    <mergeCell ref="A2:D2"/>
  </mergeCells>
  <hyperlinks>
    <hyperlink ref="D18" r:id="rId1" display="https://microcms.io/pricing/"/>
    <hyperlink ref="D19" r:id="rId2" display="https://vercel.com/pricing"/>
  </hyperlinks>
  <printOptions headings="false" gridLines="false" gridLinesSet="true" horizontalCentered="true" verticalCentered="false"/>
  <pageMargins left="0.25" right="0.25" top="0.35" bottom="0.35"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&amp;C&amp;"Calibri"紬 | 2026-09-17 | 社内検討用&amp;R&amp;"Calibri"&amp;P / &amp;N</oddFooter>
  </headerFooter>
  <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2026-09-17T02:04:59Z</dcterms:created>
  <dc:creator>紬</dc:creator>
  <dc:description>制作・月額・追加オプション・総額・月次採算。2026-09-17 の検討用スナップショット。</dc:description>
  <dc:language>ja-JP</dc:language>
  <cp:lastModifiedBy/>
  <dcterms:modified xsi:type="dcterms:W3CDTF">2026-09-17T02:04:59Z</dcterms:modified>
  <cp:revision>0</cp:revision>
  <dc:subject>現行プランと上位商品の未採用案</dc:subject>
  <dc:title>紬 全プラン比較・料金試算</dc:title>
</cp:coreProperties>
</file>

<file path=docProps/custom.xml><?xml version="1.0" encoding="utf-8"?>
<Properties xmlns="http://schemas.openxmlformats.org/officeDocument/2006/custom-properties" xmlns:vt="http://schemas.openxmlformats.org/officeDocument/2006/docPropsVTypes"/>
</file>