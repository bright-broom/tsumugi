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comments17.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9.xml" ContentType="application/vnd.openxmlformats-officedocument.spreadsheetml.comments+xml"/>
  <Override PartName="/xl/workbook.xml" ContentType="application/vnd.openxmlformats-officedocument.spreadsheetml.sheet.main+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事業の基本" sheetId="2" state="visible" r:id="rId4"/>
    <sheet name="料金レバー" sheetId="3" state="visible" r:id="rId5"/>
    <sheet name="制作プラン" sheetId="4" state="visible" r:id="rId6"/>
    <sheet name="運用プラン" sheetId="5" state="visible" r:id="rId7"/>
    <sheet name="オプション・標準装備" sheetId="6" state="visible" r:id="rId8"/>
    <sheet name="変更と継続支援" sheetId="7" state="visible" r:id="rId9"/>
    <sheet name="月額制との比較" sheetId="8" state="visible" r:id="rId10"/>
    <sheet name="補助金" sheetId="9" state="visible" r:id="rId11"/>
    <sheet name="ポータル掲載費" sheetId="10" state="visible" r:id="rId12"/>
    <sheet name="納品する仕様20" sheetId="11" state="visible" r:id="rId13"/>
    <sheet name="売らないもの" sheetId="12" state="visible" r:id="rId14"/>
    <sheet name="業種別" sheetId="13" state="visible" r:id="rId15"/>
    <sheet name="ページ一覧" sheetId="14" state="visible" r:id="rId16"/>
    <sheet name="配布用_料金表" sheetId="15" state="visible" r:id="rId17"/>
    <sheet name="配布用_36か月の総額" sheetId="16" state="visible" r:id="rId18"/>
    <sheet name="月140時間の計画" sheetId="17" state="visible" r:id="rId19"/>
  </sheets>
  <definedNames>
    <definedName function="false" hidden="false" localSheetId="5" name="_xlnm.Print_Titles" vbProcedure="false">オプション・標準装備!$1:$5</definedName>
    <definedName function="false" hidden="false" localSheetId="9" name="_xlnm.Print_Titles" vbProcedure="false">ポータル掲載費!$1:$5</definedName>
    <definedName function="false" hidden="false" localSheetId="4" name="_xlnm.Print_Titles" vbProcedure="false">運用プラン!$1:$5</definedName>
    <definedName function="false" hidden="false" localSheetId="7" name="_xlnm.Print_Titles" vbProcedure="false">月額制との比較!$1:$5</definedName>
    <definedName function="false" hidden="false" localSheetId="3" name="_xlnm.Print_Titles" vbProcedure="false">制作プラン!$1:$5</definedName>
    <definedName function="false" hidden="false" localSheetId="15" name="_xlnm.Print_Titles" vbProcedure="false">配布用_36か月の総額!$1:$5</definedName>
    <definedName function="false" hidden="false" localSheetId="14" name="_xlnm.Print_Titles" vbProcedure="false">配布用_料金表!$1:$5</definedName>
    <definedName function="false" hidden="false" localSheetId="6" name="_xlnm.Print_Titles" vbProcedure="false">変更と継続支援!$1:$5</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C7"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t>
        </r>
        <r>
          <rPr>
            <sz val="10"/>
            <rFont val="Arial"/>
            <family val="2"/>
          </rPr>
          <t xml:space="preserve">1</t>
        </r>
        <r>
          <rPr>
            <sz val="10"/>
            <rFont val="Linux Libertine G"/>
            <family val="2"/>
          </rPr>
          <t xml:space="preserve">ページ・確認</t>
        </r>
        <r>
          <rPr>
            <sz val="10"/>
            <rFont val="Arial"/>
            <family val="2"/>
          </rPr>
          <t xml:space="preserve">1</t>
        </r>
        <r>
          <rPr>
            <sz val="10"/>
            <rFont val="Linux Libertine G"/>
            <family val="2"/>
          </rPr>
          <t xml:space="preserve">回</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8"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最大</t>
        </r>
        <r>
          <rPr>
            <sz val="10"/>
            <rFont val="Arial"/>
            <family val="2"/>
          </rPr>
          <t xml:space="preserve">6</t>
        </r>
        <r>
          <rPr>
            <sz val="10"/>
            <rFont val="Linux Libertine G"/>
            <family val="2"/>
          </rPr>
          <t xml:space="preserve">ページ・確認</t>
        </r>
        <r>
          <rPr>
            <sz val="10"/>
            <rFont val="Arial"/>
            <family val="2"/>
          </rPr>
          <t xml:space="preserve">2</t>
        </r>
        <r>
          <rPr>
            <sz val="10"/>
            <rFont val="Linux Libertine G"/>
            <family val="2"/>
          </rPr>
          <t xml:space="preserve">回</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9"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最大</t>
        </r>
        <r>
          <rPr>
            <sz val="10"/>
            <rFont val="Arial"/>
            <family val="2"/>
          </rPr>
          <t xml:space="preserve">9</t>
        </r>
        <r>
          <rPr>
            <sz val="10"/>
            <rFont val="Linux Libertine G"/>
            <family val="2"/>
          </rPr>
          <t xml:space="preserve">ページ・受付準備中</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2"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検収時に残額。自社</t>
        </r>
        <r>
          <rPr>
            <sz val="10"/>
            <rFont val="Arial"/>
            <family val="2"/>
          </rPr>
          <t xml:space="preserve">24</t>
        </r>
        <r>
          <rPr>
            <sz val="10"/>
            <rFont val="Linux Libertine G"/>
            <family val="2"/>
          </rPr>
          <t xml:space="preserve">回分割の新規受付なし</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3"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月合算を</t>
        </r>
        <r>
          <rPr>
            <sz val="10"/>
            <rFont val="Arial"/>
            <family val="2"/>
          </rPr>
          <t xml:space="preserve">5</t>
        </r>
        <r>
          <rPr>
            <sz val="10"/>
            <rFont val="Linux Libertine G"/>
            <family val="2"/>
          </rPr>
          <t xml:space="preserve">分単位で切上げ。依頼ごとの切上げなし</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4"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通常変更と改善の合計。繰越なし</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5"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作業枠とは別</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6"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見積時に契約先・為替・利用量で更新。上限保証ではない</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7"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税込比較用</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18"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同一事業・再利用できる構成・</t>
        </r>
        <r>
          <rPr>
            <sz val="10"/>
            <rFont val="Arial"/>
            <family val="2"/>
          </rPr>
          <t xml:space="preserve">1</t>
        </r>
        <r>
          <rPr>
            <sz val="10"/>
            <rFont val="Linux Libertine G"/>
            <family val="2"/>
          </rPr>
          <t xml:space="preserve">回。撮影</t>
        </r>
        <r>
          <rPr>
            <sz val="10"/>
            <rFont val="Arial"/>
            <family val="2"/>
          </rPr>
          <t xml:space="preserve">/</t>
        </r>
        <r>
          <rPr>
            <sz val="10"/>
            <rFont val="Linux Libertine G"/>
            <family val="2"/>
          </rPr>
          <t xml:space="preserve">外部費</t>
        </r>
        <r>
          <rPr>
            <sz val="10"/>
            <rFont val="Arial"/>
            <family val="2"/>
          </rPr>
          <t xml:space="preserve">/</t>
        </r>
        <r>
          <rPr>
            <sz val="10"/>
            <rFont val="Linux Libertine G"/>
            <family val="2"/>
          </rPr>
          <t xml:space="preserve">支援は対象外</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0"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通常変更なし。提供条件を契約前に確認</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1"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守る＋月</t>
        </r>
        <r>
          <rPr>
            <sz val="10"/>
            <rFont val="Arial"/>
            <family val="2"/>
          </rPr>
          <t xml:space="preserve">30</t>
        </r>
        <r>
          <rPr>
            <sz val="10"/>
            <rFont val="Linux Libertine G"/>
            <family val="2"/>
          </rPr>
          <t xml:space="preserve">分の変更</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2"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守る＋月</t>
        </r>
        <r>
          <rPr>
            <sz val="10"/>
            <rFont val="Arial"/>
            <family val="2"/>
          </rPr>
          <t xml:space="preserve">90</t>
        </r>
        <r>
          <rPr>
            <sz val="10"/>
            <rFont val="Linux Libertine G"/>
            <family val="2"/>
          </rPr>
          <t xml:space="preserve">分の作業と</t>
        </r>
        <r>
          <rPr>
            <sz val="10"/>
            <rFont val="Arial"/>
            <family val="2"/>
          </rPr>
          <t xml:space="preserve">30</t>
        </r>
        <r>
          <rPr>
            <sz val="10"/>
            <rFont val="Linux Libertine G"/>
            <family val="2"/>
          </rPr>
          <t xml:space="preserve">分の打合せ</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23"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 外部費は別。継続作業は含まない</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5" authorId="0">
      <text>
        <r>
          <rPr>
            <sz val="10"/>
            <rFont val="Arial"/>
            <family val="2"/>
          </rPr>
          <t xml:space="preserve">tools/pricing/proposal.json: </t>
        </r>
        <r>
          <rPr>
            <sz val="10"/>
            <rFont val="Linux Libertine G"/>
            <family val="2"/>
          </rPr>
          <t xml:space="preserve">ユーザー指定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6" authorId="0">
      <text>
        <r>
          <rPr>
            <sz val="10"/>
            <rFont val="Arial"/>
            <family val="2"/>
          </rPr>
          <t xml:space="preserve">tools/pricing/proposal.json: </t>
        </r>
        <r>
          <rPr>
            <sz val="10"/>
            <rFont val="Linux Libertine G"/>
            <family val="2"/>
          </rPr>
          <t xml:space="preserve">仮定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7" authorId="0">
      <text>
        <r>
          <rPr>
            <sz val="10"/>
            <rFont val="Arial"/>
            <family val="2"/>
          </rPr>
          <t xml:space="preserve">tools/pricing/proposal.json: </t>
        </r>
        <r>
          <rPr>
            <sz val="10"/>
            <rFont val="Linux Libertine G"/>
            <family val="2"/>
          </rPr>
          <t xml:space="preserve">仮定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8" authorId="0">
      <text>
        <r>
          <rPr>
            <sz val="10"/>
            <rFont val="Arial"/>
            <family val="2"/>
          </rPr>
          <t xml:space="preserve">tools/pricing/proposal.json: </t>
        </r>
        <r>
          <rPr>
            <sz val="10"/>
            <rFont val="Linux Libertine G"/>
            <family val="2"/>
          </rPr>
          <t xml:space="preserve">仮定・税引後手取りではない</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49"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0" authorId="0">
      <text>
        <r>
          <rPr>
            <sz val="10"/>
            <rFont val="Arial"/>
            <family val="2"/>
          </rPr>
          <t xml:space="preserve">tools/pricing/proposal.json: </t>
        </r>
        <r>
          <rPr>
            <sz val="10"/>
            <rFont val="Linux Libertine G"/>
            <family val="2"/>
          </rPr>
          <t xml:space="preserve">未検証工数・提供開始後</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1"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2"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3" authorId="0">
      <text>
        <r>
          <rPr>
            <sz val="10"/>
            <rFont val="Arial"/>
            <family val="2"/>
          </rPr>
          <t xml:space="preserve">tools/pricing/proposal.json: </t>
        </r>
        <r>
          <rPr>
            <sz val="10"/>
            <rFont val="Linux Libertine G"/>
            <family val="2"/>
          </rPr>
          <t xml:space="preserve">未検証工数</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4" authorId="0">
      <text>
        <r>
          <rPr>
            <sz val="10"/>
            <rFont val="Arial"/>
            <family val="2"/>
          </rPr>
          <t xml:space="preserve">tools/pricing/proposal.json: </t>
        </r>
        <r>
          <rPr>
            <sz val="10"/>
            <rFont val="Linux Libertine G"/>
            <family val="2"/>
          </rPr>
          <t xml:space="preserve">将来のモデル</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5" authorId="0">
      <text>
        <r>
          <rPr>
            <sz val="10"/>
            <rFont val="Arial"/>
            <family val="2"/>
          </rPr>
          <t xml:space="preserve">tools/pricing/proposal.json: </t>
        </r>
        <r>
          <rPr>
            <sz val="10"/>
            <rFont val="Linux Libertine G"/>
            <family val="2"/>
          </rPr>
          <t xml:space="preserve">将来のモデル</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6" authorId="0">
      <text>
        <r>
          <rPr>
            <sz val="10"/>
            <rFont val="Arial"/>
            <family val="2"/>
          </rPr>
          <t xml:space="preserve">tools/pricing/proposal.json: </t>
        </r>
        <r>
          <rPr>
            <sz val="10"/>
            <rFont val="Linux Libertine G"/>
            <family val="2"/>
          </rPr>
          <t xml:space="preserve">将来のモデル</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 ref="C57" authorId="0">
      <text>
        <r>
          <rPr>
            <sz val="10"/>
            <rFont val="Arial"/>
            <family val="2"/>
          </rPr>
          <t xml:space="preserve">tools/pricing/proposal.json: </t>
        </r>
        <r>
          <rPr>
            <sz val="10"/>
            <rFont val="Linux Libertine G"/>
            <family val="2"/>
          </rPr>
          <t xml:space="preserve">感度分析の仮定</t>
        </r>
      </text>
      <mc:AlternateContent>
        <mc:Choice Requires="v2">
          <commentPr autoFill="true" autoScale="false" colHidden="false" locked="false" rowHidden="false" textHAlign="justify" textVAlign="top">
            <anchor moveWithCells="false" sizeWithCells="false">
              <xdr:from>
                <xdr:col>1</xdr:col>
                <xdr:colOff>35</xdr:colOff>
                <xdr:row>0</xdr:row>
                <xdr:rowOff>2</xdr:rowOff>
              </xdr:from>
              <xdr:to>
                <xdr:col>2</xdr:col>
                <xdr:colOff>-43</xdr:colOff>
                <xdr:row>3</xdr:row>
                <xdr:rowOff>9</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B6"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7"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8"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9"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0"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1"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2"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 ref="B13"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-132</xdr:colOff>
                <xdr:row>2</xdr:row>
                <xdr:rowOff>19</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C6" authorId="0">
      <text>
        <r>
          <rPr>
            <sz val="10"/>
            <rFont val="Linux Libertine G"/>
            <family val="2"/>
          </rPr>
          <t xml:space="preserve">正本</t>
        </r>
        <r>
          <rPr>
            <sz val="10"/>
            <rFont val="Arial"/>
            <family val="2"/>
          </rPr>
          <t xml:space="preserve">: src/content/prices.ts / 2026-09-14</t>
        </r>
        <r>
          <rPr>
            <sz val="10"/>
            <rFont val="Linux Libertine G"/>
            <family val="2"/>
          </rPr>
          <t xml:space="preserve">。</t>
        </r>
        <r>
          <rPr>
            <sz val="10"/>
            <rFont val="Arial"/>
            <family val="2"/>
          </rPr>
          <t xml:space="preserve">Excel</t>
        </r>
        <r>
          <rPr>
            <sz val="10"/>
            <rFont val="Linux Libertine G"/>
            <family val="2"/>
          </rPr>
          <t xml:space="preserve">は写しで、変更してもサイトに反映されません。</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60</xdr:colOff>
                <xdr:row>3</xdr:row>
                <xdr:rowOff>9</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紬</author>
  </authors>
  <commentList>
    <comment ref="B2" authorId="0">
      <text>
        <r>
          <rPr>
            <sz val="10"/>
            <rFont val="Linux Libertine G"/>
            <family val="2"/>
          </rPr>
          <t xml:space="preserve">ユーザー指定</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3" authorId="0">
      <text>
        <r>
          <rPr>
            <sz val="10"/>
            <rFont val="Linux Libertine G"/>
            <family val="2"/>
          </rPr>
          <t xml:space="preserve">仮定 </t>
        </r>
        <r>
          <rPr>
            <sz val="10"/>
            <rFont val="Arial"/>
            <family val="2"/>
          </rPr>
          <t xml:space="preserve">/ tools/pricing/proposal.json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4" authorId="0">
      <text>
        <r>
          <rPr>
            <sz val="10"/>
            <rFont val="Linux Libertine G"/>
            <family val="2"/>
          </rPr>
          <t xml:space="preserve">仮定 </t>
        </r>
        <r>
          <rPr>
            <sz val="10"/>
            <rFont val="Arial"/>
            <family val="2"/>
          </rPr>
          <t xml:space="preserve">/ tools/pricing/proposal.json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5" authorId="0">
      <text>
        <r>
          <rPr>
            <sz val="10"/>
            <rFont val="Linux Libertine G"/>
            <family val="2"/>
          </rPr>
          <t xml:space="preserve">計算結果。予備時間を売らない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6" authorId="0">
      <text>
        <r>
          <rPr>
            <sz val="10"/>
            <rFont val="Linux Libertine G"/>
            <family val="2"/>
          </rPr>
          <t xml:space="preserve">未検証の仮定・税引後手取りではない</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7" authorId="0">
      <text>
        <r>
          <rPr>
            <sz val="10"/>
            <rFont val="Linux Libertine G"/>
            <family val="2"/>
          </rPr>
          <t xml:space="preserve">全</t>
        </r>
        <r>
          <rPr>
            <sz val="10"/>
            <rFont val="Arial"/>
            <family val="2"/>
          </rPr>
          <t xml:space="preserve">140</t>
        </r>
        <r>
          <rPr>
            <sz val="10"/>
            <rFont val="Linux Libertine G"/>
            <family val="2"/>
          </rPr>
          <t xml:space="preserve">時間を一度だけ評価</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8" authorId="0">
      <text>
        <r>
          <rPr>
            <sz val="10"/>
            <rFont val="Linux Libertine G"/>
            <family val="2"/>
          </rPr>
          <t xml:space="preserve">土台</t>
        </r>
        <r>
          <rPr>
            <sz val="10"/>
            <rFont val="Arial"/>
            <family val="2"/>
          </rPr>
          <t xml:space="preserve">1</t>
        </r>
        <r>
          <rPr>
            <sz val="10"/>
            <rFont val="Linux Libertine G"/>
            <family val="2"/>
          </rPr>
          <t xml:space="preserve">件</t>
        </r>
        <r>
          <rPr>
            <sz val="10"/>
            <rFont val="Arial"/>
            <family val="2"/>
          </rPr>
          <t xml:space="preserve">15h</t>
        </r>
        <r>
          <rPr>
            <sz val="10"/>
            <rFont val="Linux Libertine G"/>
            <family val="2"/>
          </rPr>
          <t xml:space="preserve">＋情報育成</t>
        </r>
        <r>
          <rPr>
            <sz val="10"/>
            <rFont val="Arial"/>
            <family val="2"/>
          </rPr>
          <t xml:space="preserve">1</t>
        </r>
        <r>
          <rPr>
            <sz val="10"/>
            <rFont val="Linux Libertine G"/>
            <family val="2"/>
          </rPr>
          <t xml:space="preserve">件</t>
        </r>
        <r>
          <rPr>
            <sz val="10"/>
            <rFont val="Arial"/>
            <family val="2"/>
          </rPr>
          <t xml:space="preserve">26h</t>
        </r>
        <r>
          <rPr>
            <sz val="10"/>
            <rFont val="Linux Libertine G"/>
            <family val="2"/>
          </rPr>
          <t xml:space="preserve">。</t>
        </r>
        <r>
          <rPr>
            <sz val="10"/>
            <rFont val="Arial"/>
            <family val="2"/>
          </rPr>
          <t xml:space="preserve">CMS</t>
        </r>
        <r>
          <rPr>
            <sz val="10"/>
            <rFont val="Linux Libertine G"/>
            <family val="2"/>
          </rPr>
          <t xml:space="preserve">提供開始後の条件付き</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9" authorId="0">
      <text>
        <r>
          <rPr>
            <sz val="10"/>
            <rFont val="Linux Libertine G"/>
            <family val="2"/>
          </rPr>
          <t xml:space="preserve">守る</t>
        </r>
        <r>
          <rPr>
            <sz val="10"/>
            <rFont val="Arial"/>
            <family val="2"/>
          </rPr>
          <t xml:space="preserve">10</t>
        </r>
        <r>
          <rPr>
            <sz val="10"/>
            <rFont val="Linux Libertine G"/>
            <family val="2"/>
          </rPr>
          <t xml:space="preserve">社・整える</t>
        </r>
        <r>
          <rPr>
            <sz val="10"/>
            <rFont val="Arial"/>
            <family val="2"/>
          </rPr>
          <t xml:space="preserve">16</t>
        </r>
        <r>
          <rPr>
            <sz val="10"/>
            <rFont val="Linux Libertine G"/>
            <family val="2"/>
          </rPr>
          <t xml:space="preserve">社・育てる</t>
        </r>
        <r>
          <rPr>
            <sz val="10"/>
            <rFont val="Arial"/>
            <family val="2"/>
          </rPr>
          <t xml:space="preserve">6</t>
        </r>
        <r>
          <rPr>
            <sz val="10"/>
            <rFont val="Linux Libertine G"/>
            <family val="2"/>
          </rPr>
          <t xml:space="preserve">社。未検証工数</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10" authorId="0">
      <text>
        <r>
          <rPr>
            <sz val="10"/>
            <rFont val="Linux Libertine G"/>
            <family val="2"/>
          </rPr>
          <t xml:space="preserve">営業・予備を別に確保したうえでの余白</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 ref="B11" authorId="0">
      <text>
        <r>
          <rPr>
            <sz val="10"/>
            <rFont val="Linux Libertine G"/>
            <family val="2"/>
          </rPr>
          <t xml:space="preserve">負なら追加受注を止める。未検証の感度ケース</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-58</xdr:colOff>
                <xdr:row>1</xdr:row>
                <xdr:rowOff>61</xdr:rowOff>
              </xdr:to>
            </anchor>
          </commentPr>
        </mc:Choice>
        <mc:Fallback/>
      </mc:AlternateContent>
    </comment>
  </commentList>
</comments>
</file>

<file path=xl/sharedStrings.xml><?xml version="1.0" encoding="utf-8"?>
<sst xmlns="http://schemas.openxmlformats.org/spreadsheetml/2006/main" count="698" uniqueCount="515">
  <si>
    <t xml:space="preserve">紬（つむぎ）｜この事業の変わらない中身</t>
  </si>
  <si>
    <r>
      <rPr>
        <sz val="9.5"/>
        <color rgb="FF5A6B7B"/>
        <rFont val="Noto Sans CJK SC"/>
        <family val="2"/>
        <charset val="1"/>
      </rPr>
      <t xml:space="preserve">2026-09-14</t>
    </r>
    <r>
      <rPr>
        <sz val="9.5"/>
        <color rgb="FF5A6B7B"/>
        <rFont val="Linux Libertine G"/>
        <family val="2"/>
      </rPr>
      <t xml:space="preserve">改定。価格の正本はサイト、</t>
    </r>
    <r>
      <rPr>
        <sz val="9.5"/>
        <color rgb="FF5A6B7B"/>
        <rFont val="Noto Sans CJK SC"/>
        <family val="2"/>
        <charset val="1"/>
      </rPr>
      <t xml:space="preserve">Excel</t>
    </r>
    <r>
      <rPr>
        <sz val="9.5"/>
        <color rgb="FF5A6B7B"/>
        <rFont val="Linux Libertine G"/>
        <family val="2"/>
      </rPr>
      <t xml:space="preserve">は事業検討と配布のための写しです。</t>
    </r>
  </si>
  <si>
    <t xml:space="preserve">シート</t>
  </si>
  <si>
    <t xml:space="preserve">何が入っているか</t>
  </si>
  <si>
    <t xml:space="preserve">性格</t>
  </si>
  <si>
    <t xml:space="preserve">台帳</t>
  </si>
  <si>
    <t xml:space="preserve">料金レバー</t>
  </si>
  <si>
    <t xml:space="preserve">すべての金額の入力欄。青い数字がここにだけある。ここを直すと他のシートが追随する</t>
  </si>
  <si>
    <t xml:space="preserve">直す</t>
  </si>
  <si>
    <t xml:space="preserve">制作プラン</t>
  </si>
  <si>
    <r>
      <rPr>
        <sz val="9.5"/>
        <color rgb="FF111C29"/>
        <rFont val="游ゴシック"/>
        <family val="0"/>
        <charset val="1"/>
      </rPr>
      <t xml:space="preserve">3</t>
    </r>
    <r>
      <rPr>
        <sz val="9.5"/>
        <color rgb="FF111C29"/>
        <rFont val="Linux Libertine G"/>
        <family val="2"/>
      </rPr>
      <t xml:space="preserve">プラン＋シングル。料金と作業枠は</t>
    </r>
    <r>
      <rPr>
        <sz val="9.5"/>
        <color rgb="FF111C29"/>
        <rFont val="游ゴシック"/>
        <family val="0"/>
        <charset val="1"/>
      </rPr>
      <t xml:space="preserve">2026-09-14</t>
    </r>
    <r>
      <rPr>
        <sz val="9.5"/>
        <color rgb="FF111C29"/>
        <rFont val="Linux Libertine G"/>
        <family val="2"/>
      </rPr>
      <t xml:space="preserve">改定。着手</t>
    </r>
    <r>
      <rPr>
        <sz val="9.5"/>
        <color rgb="FF111C29"/>
        <rFont val="游ゴシック"/>
        <family val="0"/>
        <charset val="1"/>
      </rPr>
      <t xml:space="preserve">50%</t>
    </r>
    <r>
      <rPr>
        <sz val="9.5"/>
        <color rgb="FF111C29"/>
        <rFont val="Linux Libertine G"/>
        <family val="2"/>
      </rPr>
      <t xml:space="preserve">・検収</t>
    </r>
    <r>
      <rPr>
        <sz val="9.5"/>
        <color rgb="FF111C29"/>
        <rFont val="游ゴシック"/>
        <family val="0"/>
        <charset val="1"/>
      </rPr>
      <t xml:space="preserve">50%</t>
    </r>
    <r>
      <rPr>
        <sz val="9.5"/>
        <color rgb="FF111C29"/>
        <rFont val="Linux Libertine G"/>
        <family val="2"/>
      </rPr>
      <t xml:space="preserve">、継続支援は月単位。</t>
    </r>
  </si>
  <si>
    <t xml:space="preserve">計算</t>
  </si>
  <si>
    <t xml:space="preserve">運用プラン</t>
  </si>
  <si>
    <r>
      <rPr>
        <sz val="9.5"/>
        <color rgb="FF111C29"/>
        <rFont val="游ゴシック"/>
        <family val="0"/>
        <charset val="1"/>
      </rPr>
      <t xml:space="preserve">4</t>
    </r>
    <r>
      <rPr>
        <sz val="9.5"/>
        <color rgb="FF111C29"/>
        <rFont val="Linux Libertine G"/>
        <family val="2"/>
      </rPr>
      <t xml:space="preserve">プラン。月額と、含まれるもの</t>
    </r>
  </si>
  <si>
    <t xml:space="preserve">オプション・標準装備</t>
  </si>
  <si>
    <r>
      <rPr>
        <sz val="9.5"/>
        <color rgb="FF111C29"/>
        <rFont val="Linux Libertine G"/>
        <family val="2"/>
      </rPr>
      <t xml:space="preserve">別途いただくもの</t>
    </r>
    <r>
      <rPr>
        <sz val="9.5"/>
        <color rgb="FF111C29"/>
        <rFont val="Linux Libertine G"/>
        <family val="2"/>
        <charset val="1"/>
      </rPr>
      <t xml:space="preserve">8</t>
    </r>
    <r>
      <rPr>
        <sz val="9.5"/>
        <color rgb="FF111C29"/>
        <rFont val="Linux Libertine G"/>
        <family val="2"/>
      </rPr>
      <t xml:space="preserve">件と、標準で含むもの</t>
    </r>
    <r>
      <rPr>
        <sz val="9.5"/>
        <color rgb="FF111C29"/>
        <rFont val="Linux Libertine G"/>
        <family val="2"/>
        <charset val="1"/>
      </rPr>
      <t xml:space="preserve">5</t>
    </r>
    <r>
      <rPr>
        <sz val="9.5"/>
        <color rgb="FF111C29"/>
        <rFont val="Linux Libertine G"/>
        <family val="2"/>
      </rPr>
      <t xml:space="preserve">件</t>
    </r>
  </si>
  <si>
    <t xml:space="preserve">読む</t>
  </si>
  <si>
    <t xml:space="preserve">変更と継続支援</t>
  </si>
  <si>
    <r>
      <rPr>
        <sz val="9.5"/>
        <color rgb="FF111C29"/>
        <rFont val="Linux Libertine G"/>
        <family val="2"/>
      </rPr>
      <t xml:space="preserve">何回でも無料の</t>
    </r>
    <r>
      <rPr>
        <sz val="9.5"/>
        <color rgb="FF111C29"/>
        <rFont val="Linux Libertine G"/>
        <family val="2"/>
        <charset val="1"/>
      </rPr>
      <t xml:space="preserve">9</t>
    </r>
    <r>
      <rPr>
        <sz val="9.5"/>
        <color rgb="FF111C29"/>
        <rFont val="Linux Libertine G"/>
        <family val="2"/>
      </rPr>
      <t xml:space="preserve">件と、別途お見積りの</t>
    </r>
    <r>
      <rPr>
        <sz val="9.5"/>
        <color rgb="FF111C29"/>
        <rFont val="Linux Libertine G"/>
        <family val="2"/>
        <charset val="1"/>
      </rPr>
      <t xml:space="preserve">6</t>
    </r>
    <r>
      <rPr>
        <sz val="9.5"/>
        <color rgb="FF111C29"/>
        <rFont val="Linux Libertine G"/>
        <family val="2"/>
      </rPr>
      <t xml:space="preserve">件</t>
    </r>
  </si>
  <si>
    <t xml:space="preserve">月額制との比較</t>
  </si>
  <si>
    <r>
      <rPr>
        <sz val="9.5"/>
        <color rgb="FF111C29"/>
        <rFont val="游ゴシック"/>
        <family val="0"/>
        <charset val="1"/>
      </rPr>
      <t xml:space="preserve">36</t>
    </r>
    <r>
      <rPr>
        <sz val="9.5"/>
        <color rgb="FF111C29"/>
        <rFont val="Linux Libertine G"/>
        <family val="2"/>
      </rPr>
      <t xml:space="preserve">か月の総額。当方が高くなる行も残してある</t>
    </r>
  </si>
  <si>
    <t xml:space="preserve">補助金</t>
  </si>
  <si>
    <t xml:space="preserve">持続化補助金のパッケージと、補助額・自己負担の計算</t>
  </si>
  <si>
    <t xml:space="preserve">ポータル掲載費</t>
  </si>
  <si>
    <r>
      <rPr>
        <sz val="9.5"/>
        <color rgb="FF111C29"/>
        <rFont val="Linux Libertine G"/>
        <family val="2"/>
      </rPr>
      <t xml:space="preserve">食べログの各プランと、</t>
    </r>
    <r>
      <rPr>
        <sz val="9.5"/>
        <color rgb="FF111C29"/>
        <rFont val="Linux Libertine G"/>
        <family val="2"/>
        <charset val="1"/>
      </rPr>
      <t xml:space="preserve">1</t>
    </r>
    <r>
      <rPr>
        <sz val="9.5"/>
        <color rgb="FF111C29"/>
        <rFont val="Linux Libertine G"/>
        <family val="2"/>
      </rPr>
      <t xml:space="preserve">段下げた差額で運用費が出るか</t>
    </r>
  </si>
  <si>
    <t xml:space="preserve">中身</t>
  </si>
  <si>
    <r>
      <rPr>
        <b val="true"/>
        <sz val="10"/>
        <color rgb="FF111C29"/>
        <rFont val="Linux Libertine G"/>
        <family val="2"/>
      </rPr>
      <t xml:space="preserve">納品する仕様</t>
    </r>
    <r>
      <rPr>
        <b val="true"/>
        <sz val="10"/>
        <color rgb="FF111C29"/>
        <rFont val="Linux Libertine G"/>
        <family val="2"/>
        <charset val="1"/>
      </rPr>
      <t xml:space="preserve">20</t>
    </r>
  </si>
  <si>
    <r>
      <rPr>
        <sz val="9.5"/>
        <color rgb="FF111C29"/>
        <rFont val="Linux Libertine G"/>
        <family val="2"/>
      </rPr>
      <t xml:space="preserve">全業種共通の</t>
    </r>
    <r>
      <rPr>
        <sz val="9.5"/>
        <color rgb="FF111C29"/>
        <rFont val="Linux Libertine G"/>
        <family val="2"/>
        <charset val="1"/>
      </rPr>
      <t xml:space="preserve">20</t>
    </r>
    <r>
      <rPr>
        <sz val="9.5"/>
        <color rgb="FF111C29"/>
        <rFont val="Linux Libertine G"/>
        <family val="2"/>
      </rPr>
      <t xml:space="preserve">項目と、その根拠</t>
    </r>
  </si>
  <si>
    <t xml:space="preserve">売らないもの</t>
  </si>
  <si>
    <r>
      <rPr>
        <sz val="9.5"/>
        <color rgb="FF111C29"/>
        <rFont val="Linux Libertine G"/>
        <family val="2"/>
      </rPr>
      <t xml:space="preserve">売らないと決めた</t>
    </r>
    <r>
      <rPr>
        <sz val="9.5"/>
        <color rgb="FF111C29"/>
        <rFont val="Linux Libertine G"/>
        <family val="2"/>
        <charset val="1"/>
      </rPr>
      <t xml:space="preserve">5</t>
    </r>
    <r>
      <rPr>
        <sz val="9.5"/>
        <color rgb="FF111C29"/>
        <rFont val="Linux Libertine G"/>
        <family val="2"/>
      </rPr>
      <t xml:space="preserve">件と、その理由</t>
    </r>
  </si>
  <si>
    <t xml:space="preserve">業種別</t>
  </si>
  <si>
    <r>
      <rPr>
        <sz val="9.5"/>
        <color rgb="FF111C29"/>
        <rFont val="游ゴシック"/>
        <family val="0"/>
        <charset val="1"/>
      </rPr>
      <t xml:space="preserve">4</t>
    </r>
    <r>
      <rPr>
        <sz val="9.5"/>
        <color rgb="FF111C29"/>
        <rFont val="Linux Libertine G"/>
        <family val="2"/>
      </rPr>
      <t xml:space="preserve">業種の必ず入れるもの／作らないもの／財源／推奨プラン</t>
    </r>
  </si>
  <si>
    <t xml:space="preserve">ページ一覧</t>
  </si>
  <si>
    <r>
      <rPr>
        <sz val="9.5"/>
        <color rgb="FF111C29"/>
        <rFont val="Linux Libertine G"/>
        <family val="2"/>
      </rPr>
      <t xml:space="preserve">サイトの</t>
    </r>
    <r>
      <rPr>
        <sz val="9.5"/>
        <color rgb="FF111C29"/>
        <rFont val="Linux Libertine G"/>
        <family val="2"/>
        <charset val="1"/>
      </rPr>
      <t xml:space="preserve">21</t>
    </r>
    <r>
      <rPr>
        <sz val="9.5"/>
        <color rgb="FF111C29"/>
        <rFont val="Linux Libertine G"/>
        <family val="2"/>
      </rPr>
      <t xml:space="preserve">ページ</t>
    </r>
  </si>
  <si>
    <t xml:space="preserve">事業の基本</t>
  </si>
  <si>
    <t xml:space="preserve">屋号・対応エリア・約束・実測値</t>
  </si>
  <si>
    <t xml:space="preserve">配布</t>
  </si>
  <si>
    <r>
      <rPr>
        <b val="true"/>
        <sz val="10"/>
        <color rgb="FF111C29"/>
        <rFont val="Linux Libertine G"/>
        <family val="2"/>
      </rPr>
      <t xml:space="preserve">配布用</t>
    </r>
    <r>
      <rPr>
        <b val="true"/>
        <sz val="10"/>
        <color rgb="FF111C29"/>
        <rFont val="Linux Libertine G"/>
        <family val="2"/>
        <charset val="1"/>
      </rPr>
      <t xml:space="preserve">_</t>
    </r>
    <r>
      <rPr>
        <b val="true"/>
        <sz val="10"/>
        <color rgb="FF111C29"/>
        <rFont val="Linux Libertine G"/>
        <family val="2"/>
      </rPr>
      <t xml:space="preserve">料金表</t>
    </r>
  </si>
  <si>
    <t xml:space="preserve">お客様にそのまま見せられる料金表。計算式なし</t>
  </si>
  <si>
    <t xml:space="preserve">見せる</t>
  </si>
  <si>
    <r>
      <rPr>
        <b val="true"/>
        <sz val="10"/>
        <color rgb="FF111C29"/>
        <rFont val="Linux Libertine G"/>
        <family val="2"/>
      </rPr>
      <t xml:space="preserve">配布用</t>
    </r>
    <r>
      <rPr>
        <b val="true"/>
        <sz val="10"/>
        <color rgb="FF111C29"/>
        <rFont val="Linux Libertine G"/>
        <family val="2"/>
        <charset val="1"/>
      </rPr>
      <t xml:space="preserve">_36</t>
    </r>
    <r>
      <rPr>
        <b val="true"/>
        <sz val="10"/>
        <color rgb="FF111C29"/>
        <rFont val="Linux Libertine G"/>
        <family val="2"/>
      </rPr>
      <t xml:space="preserve">か月の総額</t>
    </r>
  </si>
  <si>
    <t xml:space="preserve">月額制との総額比較。お客様にそのまま見せられる</t>
  </si>
  <si>
    <t xml:space="preserve">凡例と、触るときの約束</t>
  </si>
  <si>
    <t xml:space="preserve">■</t>
  </si>
  <si>
    <t xml:space="preserve">青い数字＝直していい入力欄。『料金レバー』にしか置いていない</t>
  </si>
  <si>
    <t xml:space="preserve">黒い数字＝計算式。直接書き換えない（レバーを直せば動く）</t>
  </si>
  <si>
    <r>
      <rPr>
        <sz val="10"/>
        <color rgb="FF111C29"/>
        <rFont val="Linux Libertine G"/>
        <family val="2"/>
      </rPr>
      <t xml:space="preserve">この本は写し。正本は </t>
    </r>
    <r>
      <rPr>
        <sz val="10"/>
        <color rgb="FF111C29"/>
        <rFont val="Linux Libertine G"/>
        <family val="2"/>
        <charset val="1"/>
      </rPr>
      <t xml:space="preserve">src/content/prices.ts</t>
    </r>
  </si>
  <si>
    <r>
      <rPr>
        <sz val="10"/>
        <color rgb="FF111C29"/>
        <rFont val="Linux Libertine G"/>
        <family val="2"/>
      </rPr>
      <t xml:space="preserve">サイトに出る金額を変えるときは </t>
    </r>
    <r>
      <rPr>
        <sz val="10"/>
        <color rgb="FF111C29"/>
        <rFont val="Linux Libertine G"/>
        <family val="2"/>
        <charset val="1"/>
      </rPr>
      <t xml:space="preserve">prices.ts </t>
    </r>
    <r>
      <rPr>
        <sz val="10"/>
        <color rgb="FF111C29"/>
        <rFont val="Linux Libertine G"/>
        <family val="2"/>
      </rPr>
      <t xml:space="preserve">を直す。この </t>
    </r>
    <r>
      <rPr>
        <sz val="10"/>
        <color rgb="FF111C29"/>
        <rFont val="Linux Libertine G"/>
        <family val="2"/>
        <charset val="1"/>
      </rPr>
      <t xml:space="preserve">Excel </t>
    </r>
    <r>
      <rPr>
        <sz val="10"/>
        <color rgb="FF111C29"/>
        <rFont val="Linux Libertine G"/>
        <family val="2"/>
      </rPr>
      <t xml:space="preserve">を直してもサイトは変わらない</t>
    </r>
  </si>
  <si>
    <r>
      <rPr>
        <sz val="10"/>
        <color rgb="FF111C29"/>
        <rFont val="游ゴシック"/>
        <family val="0"/>
        <charset val="1"/>
      </rPr>
      <t xml:space="preserve">prices.ts </t>
    </r>
    <r>
      <rPr>
        <sz val="10"/>
        <color rgb="FF111C29"/>
        <rFont val="Linux Libertine G"/>
        <family val="2"/>
      </rPr>
      <t xml:space="preserve">を直したら </t>
    </r>
    <r>
      <rPr>
        <sz val="10"/>
        <color rgb="FF111C29"/>
        <rFont val="游ゴシック"/>
        <family val="0"/>
        <charset val="1"/>
      </rPr>
      <t xml:space="preserve">npm run build → verify.py</t>
    </r>
    <r>
      <rPr>
        <sz val="10"/>
        <color rgb="FF111C29"/>
        <rFont val="Linux Libertine G"/>
        <family val="2"/>
      </rPr>
      <t xml:space="preserve">。表示と正本の一致は機械が見ている</t>
    </r>
  </si>
  <si>
    <t xml:space="preserve">屋号・対応エリア・お約束・測った数字。</t>
  </si>
  <si>
    <t xml:space="preserve">項目</t>
  </si>
  <si>
    <t xml:space="preserve">内容</t>
  </si>
  <si>
    <t xml:space="preserve">備考</t>
  </si>
  <si>
    <t xml:space="preserve">屋号</t>
  </si>
  <si>
    <t xml:space="preserve">紬（つむぎ）</t>
  </si>
  <si>
    <t xml:space="preserve">一文字の漢字。読みを括弧で添える</t>
  </si>
  <si>
    <t xml:space="preserve">事業</t>
  </si>
  <si>
    <t xml:space="preserve">小規模事業者向けのホームページ制作と運用</t>
  </si>
  <si>
    <r>
      <rPr>
        <sz val="9"/>
        <color rgb="FF5A6B7B"/>
        <rFont val="Linux Libertine G"/>
        <family val="2"/>
      </rPr>
      <t xml:space="preserve">本人の月</t>
    </r>
    <r>
      <rPr>
        <sz val="9"/>
        <color rgb="FF5A6B7B"/>
        <rFont val="Linux Libertine G"/>
        <family val="2"/>
        <charset val="1"/>
      </rPr>
      <t xml:space="preserve">140</t>
    </r>
    <r>
      <rPr>
        <sz val="9"/>
        <color rgb="FF5A6B7B"/>
        <rFont val="Linux Libertine G"/>
        <family val="2"/>
      </rPr>
      <t xml:space="preserve">時間を計画上限にする</t>
    </r>
  </si>
  <si>
    <t xml:space="preserve">対応エリア</t>
  </si>
  <si>
    <t xml:space="preserve">全国</t>
  </si>
  <si>
    <t xml:space="preserve">打ち合わせはオンラインと電話。全国どこでもお受けします。</t>
  </si>
  <si>
    <t xml:space="preserve">対象業種</t>
  </si>
  <si>
    <r>
      <rPr>
        <sz val="10"/>
        <color rgb="FF111C29"/>
        <rFont val="Linux Libertine G"/>
        <family val="2"/>
      </rPr>
      <t xml:space="preserve">顧客業種は未定。課題別に最初の</t>
    </r>
    <r>
      <rPr>
        <sz val="10"/>
        <color rgb="FF111C29"/>
        <rFont val="Linux Libertine G"/>
        <family val="2"/>
        <charset val="1"/>
      </rPr>
      <t xml:space="preserve">6</t>
    </r>
    <r>
      <rPr>
        <sz val="10"/>
        <color rgb="FF111C29"/>
        <rFont val="Linux Libertine G"/>
        <family val="2"/>
      </rPr>
      <t xml:space="preserve">件で検証</t>
    </r>
  </si>
  <si>
    <t xml:space="preserve">値段を業種で変えず、価値と工数を検証</t>
  </si>
  <si>
    <t xml:space="preserve">一番の主張</t>
  </si>
  <si>
    <t xml:space="preserve">借地権のホームページか、所有権のホームページか</t>
  </si>
  <si>
    <t xml:space="preserve">月額制は借地。やめた日に更地。当方は土地ごと渡す</t>
  </si>
  <si>
    <r>
      <rPr>
        <b val="true"/>
        <sz val="10"/>
        <color rgb="FF111C29"/>
        <rFont val="Linux Libertine G"/>
        <family val="2"/>
      </rPr>
      <t xml:space="preserve">所有の</t>
    </r>
    <r>
      <rPr>
        <b val="true"/>
        <sz val="10"/>
        <color rgb="FF111C29"/>
        <rFont val="Linux Libertine G"/>
        <family val="2"/>
        <charset val="1"/>
      </rPr>
      <t xml:space="preserve">4</t>
    </r>
    <r>
      <rPr>
        <b val="true"/>
        <sz val="10"/>
        <color rgb="FF111C29"/>
        <rFont val="Linux Libertine G"/>
        <family val="2"/>
      </rPr>
      <t xml:space="preserve">要素</t>
    </r>
  </si>
  <si>
    <t xml:space="preserve">① 住所＝ドメイン　② 建物＝ソースコード　③ 地盤＝置き場所　④ 家具＝写真と原稿</t>
  </si>
  <si>
    <t xml:space="preserve">どれも『その場で確かめられる形』にしてある</t>
  </si>
  <si>
    <t xml:space="preserve">返答のお約束</t>
  </si>
  <si>
    <r>
      <rPr>
        <sz val="10"/>
        <color rgb="FF111C29"/>
        <rFont val="游ゴシック"/>
        <family val="0"/>
        <charset val="1"/>
      </rPr>
      <t xml:space="preserve">1</t>
    </r>
    <r>
      <rPr>
        <sz val="10"/>
        <color rgb="FF111C29"/>
        <rFont val="Linux Libertine G"/>
        <family val="2"/>
      </rPr>
      <t xml:space="preserve">営業日以内</t>
    </r>
  </si>
  <si>
    <t xml:space="preserve">実績値は計測を始めてから載せる</t>
  </si>
  <si>
    <t xml:space="preserve">表示速度（実測）</t>
  </si>
  <si>
    <t xml:space="preserve">最新の検証レポートを参照</t>
  </si>
  <si>
    <t xml:space="preserve">毎回のビルドで測り直す。手で書かない</t>
  </si>
  <si>
    <r>
      <rPr>
        <b val="true"/>
        <sz val="10"/>
        <color rgb="FF111C29"/>
        <rFont val="Linux Libertine G"/>
        <family val="2"/>
      </rPr>
      <t xml:space="preserve">実行時</t>
    </r>
    <r>
      <rPr>
        <b val="true"/>
        <sz val="10"/>
        <color rgb="FF111C29"/>
        <rFont val="Linux Libertine G"/>
        <family val="2"/>
        <charset val="1"/>
      </rPr>
      <t xml:space="preserve">JavaScript</t>
    </r>
  </si>
  <si>
    <r>
      <rPr>
        <sz val="10"/>
        <color rgb="FF111C29"/>
        <rFont val="游ゴシック"/>
        <family val="0"/>
        <charset val="1"/>
      </rPr>
      <t xml:space="preserve">0</t>
    </r>
    <r>
      <rPr>
        <sz val="10"/>
        <color rgb="FF111C29"/>
        <rFont val="Linux Libertine G"/>
        <family val="2"/>
      </rPr>
      <t xml:space="preserve">バイト（全</t>
    </r>
    <r>
      <rPr>
        <sz val="10"/>
        <color rgb="FF111C29"/>
        <rFont val="游ゴシック"/>
        <family val="0"/>
        <charset val="1"/>
      </rPr>
      <t xml:space="preserve">21</t>
    </r>
    <r>
      <rPr>
        <sz val="10"/>
        <color rgb="FF111C29"/>
        <rFont val="Linux Libertine G"/>
        <family val="2"/>
      </rPr>
      <t xml:space="preserve">ページ）</t>
    </r>
  </si>
  <si>
    <t xml:space="preserve">③地盤の根拠。アイランドを足すと崩れる</t>
  </si>
  <si>
    <t xml:space="preserve">自動検査</t>
  </si>
  <si>
    <r>
      <rPr>
        <sz val="10"/>
        <color rgb="FF111C29"/>
        <rFont val="游ゴシック"/>
        <family val="0"/>
        <charset val="1"/>
      </rPr>
      <t xml:space="preserve">public/verify-report.json </t>
    </r>
    <r>
      <rPr>
        <sz val="10"/>
        <color rgb="FF111C29"/>
        <rFont val="Linux Libertine G"/>
        <family val="2"/>
      </rPr>
      <t xml:space="preserve">を参照</t>
    </r>
  </si>
  <si>
    <r>
      <rPr>
        <sz val="9"/>
        <color rgb="FF5A6B7B"/>
        <rFont val="游ゴシック"/>
        <family val="0"/>
        <charset val="1"/>
      </rPr>
      <t xml:space="preserve">1</t>
    </r>
    <r>
      <rPr>
        <sz val="9"/>
        <color rgb="FF5A6B7B"/>
        <rFont val="Linux Libertine G"/>
        <family val="2"/>
      </rPr>
      <t xml:space="preserve">つでも落ちたら納品しない</t>
    </r>
  </si>
  <si>
    <t xml:space="preserve">運用の契約単位</t>
  </si>
  <si>
    <t xml:space="preserve">月単位</t>
  </si>
  <si>
    <t xml:space="preserve">前月末までの申出を翌月から適用</t>
  </si>
  <si>
    <t xml:space="preserve">制作の支払い</t>
  </si>
  <si>
    <r>
      <rPr>
        <sz val="10"/>
        <color rgb="FF111C29"/>
        <rFont val="Linux Libertine G"/>
        <family val="2"/>
      </rPr>
      <t xml:space="preserve">着手</t>
    </r>
    <r>
      <rPr>
        <sz val="10"/>
        <color rgb="FF111C29"/>
        <rFont val="Linux Libertine G"/>
        <family val="2"/>
        <charset val="1"/>
      </rPr>
      <t xml:space="preserve">50%</t>
    </r>
    <r>
      <rPr>
        <sz val="10"/>
        <color rgb="FF111C29"/>
        <rFont val="Linux Libertine G"/>
        <family val="2"/>
      </rPr>
      <t xml:space="preserve">・検収</t>
    </r>
    <r>
      <rPr>
        <sz val="10"/>
        <color rgb="FF111C29"/>
        <rFont val="Linux Libertine G"/>
        <family val="2"/>
        <charset val="1"/>
      </rPr>
      <t xml:space="preserve">50%</t>
    </r>
  </si>
  <si>
    <r>
      <rPr>
        <sz val="9"/>
        <color rgb="FF5A6B7B"/>
        <rFont val="Linux Libertine G"/>
        <family val="2"/>
      </rPr>
      <t xml:space="preserve">自社</t>
    </r>
    <r>
      <rPr>
        <sz val="9"/>
        <color rgb="FF5A6B7B"/>
        <rFont val="Linux Libertine G"/>
        <family val="2"/>
        <charset val="1"/>
      </rPr>
      <t xml:space="preserve">24</t>
    </r>
    <r>
      <rPr>
        <sz val="9"/>
        <color rgb="FF5A6B7B"/>
        <rFont val="Linux Libertine G"/>
        <family val="2"/>
      </rPr>
      <t xml:space="preserve">回分割の新規受付なし</t>
    </r>
  </si>
  <si>
    <t xml:space="preserve">公開前の状態</t>
  </si>
  <si>
    <r>
      <rPr>
        <sz val="10"/>
        <color rgb="FF111C29"/>
        <rFont val="游ゴシック"/>
        <family val="0"/>
        <charset val="1"/>
      </rPr>
      <t xml:space="preserve">PLACEHOLDER=True</t>
    </r>
    <r>
      <rPr>
        <sz val="10"/>
        <color rgb="FF111C29"/>
        <rFont val="Linux Libertine G"/>
        <family val="2"/>
      </rPr>
      <t xml:space="preserve">（電話番号・住所が仮）</t>
    </r>
  </si>
  <si>
    <r>
      <rPr>
        <sz val="9"/>
        <color rgb="FF5A6B7B"/>
        <rFont val="Linux Libertine G"/>
        <family val="2"/>
      </rPr>
      <t xml:space="preserve">公開前に </t>
    </r>
    <r>
      <rPr>
        <sz val="9"/>
        <color rgb="FF5A6B7B"/>
        <rFont val="Linux Libertine G"/>
        <family val="2"/>
        <charset val="1"/>
      </rPr>
      <t xml:space="preserve">False </t>
    </r>
    <r>
      <rPr>
        <sz val="9"/>
        <color rgb="FF5A6B7B"/>
        <rFont val="Linux Libertine G"/>
        <family val="2"/>
      </rPr>
      <t xml:space="preserve">にする。検査が </t>
    </r>
    <r>
      <rPr>
        <sz val="9"/>
        <color rgb="FF5A6B7B"/>
        <rFont val="Linux Libertine G"/>
        <family val="2"/>
        <charset val="1"/>
      </rPr>
      <t xml:space="preserve">WARN </t>
    </r>
    <r>
      <rPr>
        <sz val="9"/>
        <color rgb="FF5A6B7B"/>
        <rFont val="Linux Libertine G"/>
        <family val="2"/>
      </rPr>
      <t xml:space="preserve">で見張っている</t>
    </r>
  </si>
  <si>
    <r>
      <rPr>
        <sz val="9"/>
        <color rgb="FF5A6B7B"/>
        <rFont val="Linux Libertine G"/>
        <family val="2"/>
      </rPr>
      <t xml:space="preserve">未解決</t>
    </r>
    <r>
      <rPr>
        <sz val="9"/>
        <color rgb="FF5A6B7B"/>
        <rFont val="Linux Libertine G"/>
        <family val="2"/>
        <charset val="1"/>
      </rPr>
      <t xml:space="preserve">: </t>
    </r>
    <r>
      <rPr>
        <sz val="9"/>
        <color rgb="FF5A6B7B"/>
        <rFont val="Linux Libertine G"/>
        <family val="2"/>
      </rPr>
      <t xml:space="preserve">契約確認・フォーム受信・事業者情報・屋号確認・保守の提供体制。撮影は別見積もり、</t>
    </r>
    <r>
      <rPr>
        <sz val="9"/>
        <color rgb="FF5A6B7B"/>
        <rFont val="Linux Libertine G"/>
        <family val="2"/>
        <charset val="1"/>
      </rPr>
      <t xml:space="preserve">CMS</t>
    </r>
    <r>
      <rPr>
        <sz val="9"/>
        <color rgb="FF5A6B7B"/>
        <rFont val="Linux Libertine G"/>
        <family val="2"/>
      </rPr>
      <t xml:space="preserve">商品は受付準備中。</t>
    </r>
  </si>
  <si>
    <t xml:space="preserve">料金レバー（ここだけ直す）</t>
  </si>
  <si>
    <t xml:space="preserve">青い数字は試算用の入力。料金の正本はサイトです。支援は月単位・前月末の申出で変更できます。</t>
  </si>
  <si>
    <t xml:space="preserve">値</t>
  </si>
  <si>
    <t xml:space="preserve">単位</t>
  </si>
  <si>
    <t xml:space="preserve">意味・根拠</t>
  </si>
  <si>
    <t xml:space="preserve">制作（買い切り・税別）</t>
  </si>
  <si>
    <t xml:space="preserve">入口をつくる</t>
  </si>
  <si>
    <t xml:space="preserve">円</t>
  </si>
  <si>
    <r>
      <rPr>
        <sz val="9"/>
        <color rgb="FF5A6B7B"/>
        <rFont val="游ゴシック"/>
        <family val="0"/>
        <charset val="1"/>
      </rPr>
      <t xml:space="preserve">1</t>
    </r>
    <r>
      <rPr>
        <sz val="9"/>
        <color rgb="FF5A6B7B"/>
        <rFont val="Linux Libertine G"/>
        <family val="2"/>
      </rPr>
      <t xml:space="preserve">ページ・確認</t>
    </r>
    <r>
      <rPr>
        <sz val="9"/>
        <color rgb="FF5A6B7B"/>
        <rFont val="游ゴシック"/>
        <family val="0"/>
        <charset val="1"/>
      </rPr>
      <t xml:space="preserve">1</t>
    </r>
    <r>
      <rPr>
        <sz val="9"/>
        <color rgb="FF5A6B7B"/>
        <rFont val="Linux Libertine G"/>
        <family val="2"/>
      </rPr>
      <t xml:space="preserve">回</t>
    </r>
  </si>
  <si>
    <t xml:space="preserve">事業の土台をつくる</t>
  </si>
  <si>
    <r>
      <rPr>
        <sz val="9"/>
        <color rgb="FF5A6B7B"/>
        <rFont val="Linux Libertine G"/>
        <family val="2"/>
      </rPr>
      <t xml:space="preserve">最大</t>
    </r>
    <r>
      <rPr>
        <sz val="9"/>
        <color rgb="FF5A6B7B"/>
        <rFont val="Linux Libertine G"/>
        <family val="2"/>
        <charset val="1"/>
      </rPr>
      <t xml:space="preserve">6</t>
    </r>
    <r>
      <rPr>
        <sz val="9"/>
        <color rgb="FF5A6B7B"/>
        <rFont val="Linux Libertine G"/>
        <family val="2"/>
      </rPr>
      <t xml:space="preserve">ページ・確認</t>
    </r>
    <r>
      <rPr>
        <sz val="9"/>
        <color rgb="FF5A6B7B"/>
        <rFont val="Linux Libertine G"/>
        <family val="2"/>
        <charset val="1"/>
      </rPr>
      <t xml:space="preserve">2</t>
    </r>
    <r>
      <rPr>
        <sz val="9"/>
        <color rgb="FF5A6B7B"/>
        <rFont val="Linux Libertine G"/>
        <family val="2"/>
      </rPr>
      <t xml:space="preserve">回</t>
    </r>
  </si>
  <si>
    <t xml:space="preserve">情報を育てる</t>
  </si>
  <si>
    <r>
      <rPr>
        <sz val="9"/>
        <color rgb="FF5A6B7B"/>
        <rFont val="Linux Libertine G"/>
        <family val="2"/>
      </rPr>
      <t xml:space="preserve">最大</t>
    </r>
    <r>
      <rPr>
        <sz val="9"/>
        <color rgb="FF5A6B7B"/>
        <rFont val="Linux Libertine G"/>
        <family val="2"/>
        <charset val="1"/>
      </rPr>
      <t xml:space="preserve">9</t>
    </r>
    <r>
      <rPr>
        <sz val="9"/>
        <color rgb="FF5A6B7B"/>
        <rFont val="Linux Libertine G"/>
        <family val="2"/>
      </rPr>
      <t xml:space="preserve">ページ・受付準備中</t>
    </r>
  </si>
  <si>
    <t xml:space="preserve">支払・月次作業枠・外部費</t>
  </si>
  <si>
    <t xml:space="preserve">着手金の割合</t>
  </si>
  <si>
    <t xml:space="preserve">割合</t>
  </si>
  <si>
    <r>
      <rPr>
        <sz val="9"/>
        <color rgb="FF5A6B7B"/>
        <rFont val="Linux Libertine G"/>
        <family val="2"/>
      </rPr>
      <t xml:space="preserve">検収時に残額。自社</t>
    </r>
    <r>
      <rPr>
        <sz val="9"/>
        <color rgb="FF5A6B7B"/>
        <rFont val="Linux Libertine G"/>
        <family val="2"/>
        <charset val="1"/>
      </rPr>
      <t xml:space="preserve">24</t>
    </r>
    <r>
      <rPr>
        <sz val="9"/>
        <color rgb="FF5A6B7B"/>
        <rFont val="Linux Libertine G"/>
        <family val="2"/>
      </rPr>
      <t xml:space="preserve">回分割の新規受付なし</t>
    </r>
  </si>
  <si>
    <t xml:space="preserve">整える 作業枠</t>
  </si>
  <si>
    <r>
      <rPr>
        <sz val="9"/>
        <color rgb="FF5A6B7B"/>
        <rFont val="Linux Libertine G"/>
        <family val="2"/>
      </rPr>
      <t xml:space="preserve">分</t>
    </r>
    <r>
      <rPr>
        <sz val="9"/>
        <color rgb="FF5A6B7B"/>
        <rFont val="Linux Libertine G"/>
        <family val="2"/>
        <charset val="1"/>
      </rPr>
      <t xml:space="preserve">/</t>
    </r>
    <r>
      <rPr>
        <sz val="9"/>
        <color rgb="FF5A6B7B"/>
        <rFont val="Linux Libertine G"/>
        <family val="2"/>
      </rPr>
      <t xml:space="preserve">月</t>
    </r>
  </si>
  <si>
    <r>
      <rPr>
        <sz val="9"/>
        <color rgb="FF5A6B7B"/>
        <rFont val="Linux Libertine G"/>
        <family val="2"/>
      </rPr>
      <t xml:space="preserve">月合算を</t>
    </r>
    <r>
      <rPr>
        <sz val="9"/>
        <color rgb="FF5A6B7B"/>
        <rFont val="Linux Libertine G"/>
        <family val="2"/>
        <charset val="1"/>
      </rPr>
      <t xml:space="preserve">5</t>
    </r>
    <r>
      <rPr>
        <sz val="9"/>
        <color rgb="FF5A6B7B"/>
        <rFont val="Linux Libertine G"/>
        <family val="2"/>
      </rPr>
      <t xml:space="preserve">分単位で切上げ。依頼ごとの切上げなし</t>
    </r>
  </si>
  <si>
    <t xml:space="preserve">育てる 作業枠</t>
  </si>
  <si>
    <t xml:space="preserve">通常変更と改善の合計。繰越なし</t>
  </si>
  <si>
    <t xml:space="preserve">育てる 打合せ</t>
  </si>
  <si>
    <t xml:space="preserve">作業枠とは別</t>
  </si>
  <si>
    <t xml:space="preserve">外部費 概算</t>
  </si>
  <si>
    <r>
      <rPr>
        <sz val="9"/>
        <color rgb="FF5A6B7B"/>
        <rFont val="Linux Libertine G"/>
        <family val="2"/>
      </rPr>
      <t xml:space="preserve">円</t>
    </r>
    <r>
      <rPr>
        <sz val="9"/>
        <color rgb="FF5A6B7B"/>
        <rFont val="Linux Libertine G"/>
        <family val="2"/>
        <charset val="1"/>
      </rPr>
      <t xml:space="preserve">/</t>
    </r>
    <r>
      <rPr>
        <sz val="9"/>
        <color rgb="FF5A6B7B"/>
        <rFont val="Linux Libertine G"/>
        <family val="2"/>
      </rPr>
      <t xml:space="preserve">月</t>
    </r>
  </si>
  <si>
    <t xml:space="preserve">見積時に契約先・為替・利用量で更新。上限保証ではない</t>
  </si>
  <si>
    <t xml:space="preserve">消費税率</t>
  </si>
  <si>
    <t xml:space="preserve">税込比較用</t>
  </si>
  <si>
    <t xml:space="preserve">増築時の充当期限</t>
  </si>
  <si>
    <t xml:space="preserve">か月</t>
  </si>
  <si>
    <r>
      <rPr>
        <sz val="9"/>
        <color rgb="FF5A6B7B"/>
        <rFont val="Linux Libertine G"/>
        <family val="2"/>
      </rPr>
      <t xml:space="preserve">同一事業・再利用できる構成・</t>
    </r>
    <r>
      <rPr>
        <sz val="9"/>
        <color rgb="FF5A6B7B"/>
        <rFont val="Linux Libertine G"/>
        <family val="2"/>
        <charset val="1"/>
      </rPr>
      <t xml:space="preserve">1</t>
    </r>
    <r>
      <rPr>
        <sz val="9"/>
        <color rgb="FF5A6B7B"/>
        <rFont val="Linux Libertine G"/>
        <family val="2"/>
      </rPr>
      <t xml:space="preserve">回。撮影</t>
    </r>
    <r>
      <rPr>
        <sz val="9"/>
        <color rgb="FF5A6B7B"/>
        <rFont val="Linux Libertine G"/>
        <family val="2"/>
        <charset val="1"/>
      </rPr>
      <t xml:space="preserve">/</t>
    </r>
    <r>
      <rPr>
        <sz val="9"/>
        <color rgb="FF5A6B7B"/>
        <rFont val="Linux Libertine G"/>
        <family val="2"/>
      </rPr>
      <t xml:space="preserve">外部費</t>
    </r>
    <r>
      <rPr>
        <sz val="9"/>
        <color rgb="FF5A6B7B"/>
        <rFont val="Linux Libertine G"/>
        <family val="2"/>
        <charset val="1"/>
      </rPr>
      <t xml:space="preserve">/</t>
    </r>
    <r>
      <rPr>
        <sz val="9"/>
        <color rgb="FF5A6B7B"/>
        <rFont val="Linux Libertine G"/>
        <family val="2"/>
      </rPr>
      <t xml:space="preserve">支援は対象外</t>
    </r>
  </si>
  <si>
    <t xml:space="preserve">運用（月額・税別）</t>
  </si>
  <si>
    <t xml:space="preserve">守る</t>
  </si>
  <si>
    <t xml:space="preserve">通常変更なし。提供条件を契約前に確認</t>
  </si>
  <si>
    <t xml:space="preserve">整える</t>
  </si>
  <si>
    <r>
      <rPr>
        <sz val="9"/>
        <color rgb="FF5A6B7B"/>
        <rFont val="Linux Libertine G"/>
        <family val="2"/>
      </rPr>
      <t xml:space="preserve">守る＋月</t>
    </r>
    <r>
      <rPr>
        <sz val="9"/>
        <color rgb="FF5A6B7B"/>
        <rFont val="Linux Libertine G"/>
        <family val="2"/>
        <charset val="1"/>
      </rPr>
      <t xml:space="preserve">30</t>
    </r>
    <r>
      <rPr>
        <sz val="9"/>
        <color rgb="FF5A6B7B"/>
        <rFont val="Linux Libertine G"/>
        <family val="2"/>
      </rPr>
      <t xml:space="preserve">分の変更</t>
    </r>
  </si>
  <si>
    <t xml:space="preserve">育てる</t>
  </si>
  <si>
    <r>
      <rPr>
        <sz val="9"/>
        <color rgb="FF5A6B7B"/>
        <rFont val="Linux Libertine G"/>
        <family val="2"/>
      </rPr>
      <t xml:space="preserve">守る＋月</t>
    </r>
    <r>
      <rPr>
        <sz val="9"/>
        <color rgb="FF5A6B7B"/>
        <rFont val="Linux Libertine G"/>
        <family val="2"/>
        <charset val="1"/>
      </rPr>
      <t xml:space="preserve">90</t>
    </r>
    <r>
      <rPr>
        <sz val="9"/>
        <color rgb="FF5A6B7B"/>
        <rFont val="Linux Libertine G"/>
        <family val="2"/>
      </rPr>
      <t xml:space="preserve">分の作業と</t>
    </r>
    <r>
      <rPr>
        <sz val="9"/>
        <color rgb="FF5A6B7B"/>
        <rFont val="Linux Libertine G"/>
        <family val="2"/>
        <charset val="1"/>
      </rPr>
      <t xml:space="preserve">30</t>
    </r>
    <r>
      <rPr>
        <sz val="9"/>
        <color rgb="FF5A6B7B"/>
        <rFont val="Linux Libertine G"/>
        <family val="2"/>
      </rPr>
      <t xml:space="preserve">分の打合せ</t>
    </r>
  </si>
  <si>
    <t xml:space="preserve">自分で管理</t>
  </si>
  <si>
    <t xml:space="preserve">外部費は別。継続作業は含まない</t>
  </si>
  <si>
    <t xml:space="preserve">月額制（他社の公開料金・比較の相手）</t>
  </si>
  <si>
    <t xml:space="preserve">比較する月数</t>
  </si>
  <si>
    <t xml:space="preserve">月額制各社が『譲渡』『契約満了』の区切りに使う月数に合わせた</t>
  </si>
  <si>
    <r>
      <rPr>
        <b val="true"/>
        <sz val="10"/>
        <color rgb="FF111C29"/>
        <rFont val="Linux Libertine G"/>
        <family val="2"/>
      </rPr>
      <t xml:space="preserve">月額制</t>
    </r>
    <r>
      <rPr>
        <b val="true"/>
        <sz val="10"/>
        <color rgb="FF111C29"/>
        <rFont val="Linux Libertine G"/>
        <family val="2"/>
        <charset val="1"/>
      </rPr>
      <t xml:space="preserve">A</t>
    </r>
    <r>
      <rPr>
        <b val="true"/>
        <sz val="10"/>
        <color rgb="FF111C29"/>
        <rFont val="Linux Libertine G"/>
        <family val="2"/>
      </rPr>
      <t xml:space="preserve">社 </t>
    </r>
    <r>
      <rPr>
        <b val="true"/>
        <sz val="10"/>
        <color rgb="FF111C29"/>
        <rFont val="Linux Libertine G"/>
        <family val="2"/>
        <charset val="1"/>
      </rPr>
      <t xml:space="preserve">1</t>
    </r>
    <r>
      <rPr>
        <b val="true"/>
        <sz val="10"/>
        <color rgb="FF111C29"/>
        <rFont val="Linux Libertine G"/>
        <family val="2"/>
      </rPr>
      <t xml:space="preserve">ページ 月額</t>
    </r>
  </si>
  <si>
    <r>
      <rPr>
        <sz val="9"/>
        <color rgb="FF5A6B7B"/>
        <rFont val="Linux Libertine G"/>
        <family val="2"/>
      </rPr>
      <t xml:space="preserve">公開料金の参考。役務は同一でない。</t>
    </r>
    <r>
      <rPr>
        <sz val="9"/>
        <color rgb="FF5A6B7B"/>
        <rFont val="Linux Libertine G"/>
        <family val="2"/>
        <charset val="1"/>
      </rPr>
      <t xml:space="preserve">https://www.propagateinc.com/web-design / 2026-09-14</t>
    </r>
  </si>
  <si>
    <r>
      <rPr>
        <b val="true"/>
        <sz val="10"/>
        <color rgb="FF111C29"/>
        <rFont val="Linux Libertine G"/>
        <family val="2"/>
      </rPr>
      <t xml:space="preserve">月額制</t>
    </r>
    <r>
      <rPr>
        <b val="true"/>
        <sz val="10"/>
        <color rgb="FF111C29"/>
        <rFont val="Linux Libertine G"/>
        <family val="2"/>
        <charset val="1"/>
      </rPr>
      <t xml:space="preserve">A</t>
    </r>
    <r>
      <rPr>
        <b val="true"/>
        <sz val="10"/>
        <color rgb="FF111C29"/>
        <rFont val="Linux Libertine G"/>
        <family val="2"/>
      </rPr>
      <t xml:space="preserve">社 </t>
    </r>
    <r>
      <rPr>
        <b val="true"/>
        <sz val="10"/>
        <color rgb="FF111C29"/>
        <rFont val="Linux Libertine G"/>
        <family val="2"/>
        <charset val="1"/>
      </rPr>
      <t xml:space="preserve">2</t>
    </r>
    <r>
      <rPr>
        <b val="true"/>
        <sz val="10"/>
        <color rgb="FF111C29"/>
        <rFont val="Linux Libertine G"/>
        <family val="2"/>
      </rPr>
      <t xml:space="preserve">〜</t>
    </r>
    <r>
      <rPr>
        <b val="true"/>
        <sz val="10"/>
        <color rgb="FF111C29"/>
        <rFont val="Linux Libertine G"/>
        <family val="2"/>
        <charset val="1"/>
      </rPr>
      <t xml:space="preserve">6</t>
    </r>
    <r>
      <rPr>
        <b val="true"/>
        <sz val="10"/>
        <color rgb="FF111C29"/>
        <rFont val="Linux Libertine G"/>
        <family val="2"/>
      </rPr>
      <t xml:space="preserve">ページ 月額</t>
    </r>
  </si>
  <si>
    <r>
      <rPr>
        <b val="true"/>
        <sz val="10"/>
        <color rgb="FF111C29"/>
        <rFont val="Linux Libertine G"/>
        <family val="2"/>
      </rPr>
      <t xml:space="preserve">月額制</t>
    </r>
    <r>
      <rPr>
        <b val="true"/>
        <sz val="10"/>
        <color rgb="FF111C29"/>
        <rFont val="Linux Libertine G"/>
        <family val="2"/>
        <charset val="1"/>
      </rPr>
      <t xml:space="preserve">A</t>
    </r>
    <r>
      <rPr>
        <b val="true"/>
        <sz val="10"/>
        <color rgb="FF111C29"/>
        <rFont val="Linux Libertine G"/>
        <family val="2"/>
      </rPr>
      <t xml:space="preserve">社 </t>
    </r>
    <r>
      <rPr>
        <b val="true"/>
        <sz val="10"/>
        <color rgb="FF111C29"/>
        <rFont val="Linux Libertine G"/>
        <family val="2"/>
        <charset val="1"/>
      </rPr>
      <t xml:space="preserve">7</t>
    </r>
    <r>
      <rPr>
        <b val="true"/>
        <sz val="10"/>
        <color rgb="FF111C29"/>
        <rFont val="Linux Libertine G"/>
        <family val="2"/>
      </rPr>
      <t xml:space="preserve">〜</t>
    </r>
    <r>
      <rPr>
        <b val="true"/>
        <sz val="10"/>
        <color rgb="FF111C29"/>
        <rFont val="Linux Libertine G"/>
        <family val="2"/>
        <charset val="1"/>
      </rPr>
      <t xml:space="preserve">12</t>
    </r>
    <r>
      <rPr>
        <b val="true"/>
        <sz val="10"/>
        <color rgb="FF111C29"/>
        <rFont val="Linux Libertine G"/>
        <family val="2"/>
      </rPr>
      <t xml:space="preserve">ページ 月額</t>
    </r>
  </si>
  <si>
    <t xml:space="preserve">月額制の初期費用</t>
  </si>
  <si>
    <t xml:space="preserve">補助金（小規模事業者持続化補助金）</t>
  </si>
  <si>
    <t xml:space="preserve">補助率</t>
  </si>
  <si>
    <t xml:space="preserve">—</t>
  </si>
  <si>
    <r>
      <rPr>
        <sz val="9"/>
        <color rgb="FF5A6B7B"/>
        <rFont val="游ゴシック"/>
        <family val="0"/>
        <charset val="1"/>
      </rPr>
      <t xml:space="preserve">3</t>
    </r>
    <r>
      <rPr>
        <sz val="9"/>
        <color rgb="FF5A6B7B"/>
        <rFont val="Linux Libertine G"/>
        <family val="2"/>
      </rPr>
      <t xml:space="preserve">分の</t>
    </r>
    <r>
      <rPr>
        <sz val="9"/>
        <color rgb="FF5A6B7B"/>
        <rFont val="游ゴシック"/>
        <family val="0"/>
        <charset val="1"/>
      </rPr>
      <t xml:space="preserve">2</t>
    </r>
  </si>
  <si>
    <t xml:space="preserve">補助上限</t>
  </si>
  <si>
    <t xml:space="preserve">全体の上限</t>
  </si>
  <si>
    <t xml:space="preserve">ウェブ関連費の上限</t>
  </si>
  <si>
    <t xml:space="preserve">補助金額としての上限。経費額ではない</t>
  </si>
  <si>
    <t xml:space="preserve">ポータル掲載費（食べログ・公開料金／税込）</t>
  </si>
  <si>
    <r>
      <rPr>
        <b val="true"/>
        <sz val="10"/>
        <color rgb="FF111C29"/>
        <rFont val="Linux Libertine G"/>
        <family val="2"/>
      </rPr>
      <t xml:space="preserve">プレミアム</t>
    </r>
    <r>
      <rPr>
        <b val="true"/>
        <sz val="10"/>
        <color rgb="FF111C29"/>
        <rFont val="Linux Libertine G"/>
        <family val="2"/>
        <charset val="1"/>
      </rPr>
      <t xml:space="preserve">10</t>
    </r>
  </si>
  <si>
    <r>
      <rPr>
        <sz val="9"/>
        <color rgb="FF5A6B7B"/>
        <rFont val="Linux Libertine G"/>
        <family val="2"/>
      </rPr>
      <t xml:space="preserve">月額。税抜表記を</t>
    </r>
    <r>
      <rPr>
        <sz val="9"/>
        <color rgb="FF5A6B7B"/>
        <rFont val="Linux Libertine G"/>
        <family val="2"/>
        <charset val="1"/>
      </rPr>
      <t xml:space="preserve">1.1</t>
    </r>
    <r>
      <rPr>
        <sz val="9"/>
        <color rgb="FF5A6B7B"/>
        <rFont val="Linux Libertine G"/>
        <family val="2"/>
      </rPr>
      <t xml:space="preserve">倍して税込に換算</t>
    </r>
  </si>
  <si>
    <r>
      <rPr>
        <b val="true"/>
        <sz val="10"/>
        <color rgb="FF111C29"/>
        <rFont val="Linux Libertine G"/>
        <family val="2"/>
      </rPr>
      <t xml:space="preserve">プレミアム</t>
    </r>
    <r>
      <rPr>
        <b val="true"/>
        <sz val="10"/>
        <color rgb="FF111C29"/>
        <rFont val="Linux Libertine G"/>
        <family val="2"/>
        <charset val="1"/>
      </rPr>
      <t xml:space="preserve">5</t>
    </r>
  </si>
  <si>
    <t xml:space="preserve">ベーシック</t>
  </si>
  <si>
    <t xml:space="preserve">ライト</t>
  </si>
  <si>
    <t xml:space="preserve">無料掲載</t>
  </si>
  <si>
    <t xml:space="preserve">送客手数料（ディナー）</t>
  </si>
  <si>
    <r>
      <rPr>
        <sz val="9"/>
        <color rgb="FF5A6B7B"/>
        <rFont val="游ゴシック"/>
        <family val="0"/>
        <charset val="1"/>
      </rPr>
      <t xml:space="preserve">1</t>
    </r>
    <r>
      <rPr>
        <sz val="9"/>
        <color rgb="FF5A6B7B"/>
        <rFont val="Linux Libertine G"/>
        <family val="2"/>
      </rPr>
      <t xml:space="preserve">人あたり・税込。新規と常連を区別しない</t>
    </r>
  </si>
  <si>
    <t xml:space="preserve">送客手数料（ランチ）</t>
  </si>
  <si>
    <r>
      <rPr>
        <sz val="9"/>
        <color rgb="FF5A6B7B"/>
        <rFont val="游ゴシック"/>
        <family val="0"/>
        <charset val="1"/>
      </rPr>
      <t xml:space="preserve">1</t>
    </r>
    <r>
      <rPr>
        <sz val="9"/>
        <color rgb="FF5A6B7B"/>
        <rFont val="Linux Libertine G"/>
        <family val="2"/>
      </rPr>
      <t xml:space="preserve">人あたり・税込</t>
    </r>
  </si>
  <si>
    <r>
      <rPr>
        <sz val="9"/>
        <color rgb="FF5A6B7B"/>
        <rFont val="Linux Libertine G"/>
        <family val="2"/>
      </rPr>
      <t xml:space="preserve">正本</t>
    </r>
    <r>
      <rPr>
        <sz val="9"/>
        <color rgb="FF5A6B7B"/>
        <rFont val="Linux Libertine G"/>
        <family val="2"/>
        <charset val="1"/>
      </rPr>
      <t xml:space="preserve">: src/content/prices.ts / 2026-09-14</t>
    </r>
    <r>
      <rPr>
        <sz val="9"/>
        <color rgb="FF5A6B7B"/>
        <rFont val="Linux Libertine G"/>
        <family val="2"/>
      </rPr>
      <t xml:space="preserve">。</t>
    </r>
    <r>
      <rPr>
        <sz val="9"/>
        <color rgb="FF5A6B7B"/>
        <rFont val="Linux Libertine G"/>
        <family val="2"/>
        <charset val="1"/>
      </rPr>
      <t xml:space="preserve">Excel</t>
    </r>
    <r>
      <rPr>
        <sz val="9"/>
        <color rgb="FF5A6B7B"/>
        <rFont val="Linux Libertine G"/>
        <family val="2"/>
      </rPr>
      <t xml:space="preserve">は写しで、変更してもサイトに反映されません。 比較先</t>
    </r>
    <r>
      <rPr>
        <sz val="9"/>
        <color rgb="FF5A6B7B"/>
        <rFont val="Linux Libertine G"/>
        <family val="2"/>
        <charset val="1"/>
      </rPr>
      <t xml:space="preserve">: https://www.propagateinc.com/web-design</t>
    </r>
    <r>
      <rPr>
        <sz val="9"/>
        <color rgb="FF5A6B7B"/>
        <rFont val="Linux Libertine G"/>
        <family val="2"/>
      </rPr>
      <t xml:space="preserve">（</t>
    </r>
    <r>
      <rPr>
        <sz val="9"/>
        <color rgb="FF5A6B7B"/>
        <rFont val="Linux Libertine G"/>
        <family val="2"/>
        <charset val="1"/>
      </rPr>
      <t xml:space="preserve">2026-09-14</t>
    </r>
    <r>
      <rPr>
        <sz val="9"/>
        <color rgb="FF5A6B7B"/>
        <rFont val="Linux Libertine G"/>
        <family val="2"/>
      </rPr>
      <t xml:space="preserve">確認）</t>
    </r>
  </si>
  <si>
    <t xml:space="preserve">本人の月間時間</t>
  </si>
  <si>
    <t xml:space="preserve">ユーザー指定</t>
  </si>
  <si>
    <t xml:space="preserve">営業・事務</t>
  </si>
  <si>
    <t xml:space="preserve">仮定</t>
  </si>
  <si>
    <t xml:space="preserve">予備</t>
  </si>
  <si>
    <t xml:space="preserve">本人時間の評価単価</t>
  </si>
  <si>
    <t xml:space="preserve">仮定・税引後手取りではない</t>
  </si>
  <si>
    <t xml:space="preserve">土台の制作時間</t>
  </si>
  <si>
    <t xml:space="preserve">未検証工数</t>
  </si>
  <si>
    <t xml:space="preserve">情報育成の制作時間</t>
  </si>
  <si>
    <t xml:space="preserve">未検証工数・提供開始後</t>
  </si>
  <si>
    <t xml:space="preserve">守るの社内時間</t>
  </si>
  <si>
    <t xml:space="preserve">整えるの社内時間</t>
  </si>
  <si>
    <t xml:space="preserve">育てるの社内時間</t>
  </si>
  <si>
    <t xml:space="preserve">守るの契約社数</t>
  </si>
  <si>
    <t xml:space="preserve">将来のモデル</t>
  </si>
  <si>
    <t xml:space="preserve">整えるの契約社数</t>
  </si>
  <si>
    <t xml:space="preserve">育てるの契約社数</t>
  </si>
  <si>
    <t xml:space="preserve">工数の増加率</t>
  </si>
  <si>
    <t xml:space="preserve">感度分析の仮定</t>
  </si>
  <si>
    <r>
      <rPr>
        <b val="true"/>
        <sz val="15"/>
        <color rgb="FF1F3049"/>
        <rFont val="Linux Libertine G"/>
        <family val="2"/>
      </rPr>
      <t xml:space="preserve">制作プラン（</t>
    </r>
    <r>
      <rPr>
        <b val="true"/>
        <sz val="15"/>
        <color rgb="FF1F3049"/>
        <rFont val="Linux Libertine G"/>
        <family val="2"/>
        <charset val="1"/>
      </rPr>
      <t xml:space="preserve">2026-09-14</t>
    </r>
    <r>
      <rPr>
        <b val="true"/>
        <sz val="15"/>
        <color rgb="FF1F3049"/>
        <rFont val="Linux Libertine G"/>
        <family val="2"/>
      </rPr>
      <t xml:space="preserve">改定）</t>
    </r>
  </si>
  <si>
    <r>
      <rPr>
        <b val="true"/>
        <sz val="10"/>
        <color rgb="FF111C29"/>
        <rFont val="Linux Libertine G"/>
        <family val="2"/>
      </rPr>
      <t xml:space="preserve">全額税別。外部費・撮影は別。着手</t>
    </r>
    <r>
      <rPr>
        <b val="true"/>
        <sz val="10"/>
        <color rgb="FF111C29"/>
        <rFont val="Linux Libertine G"/>
        <family val="2"/>
        <charset val="1"/>
      </rPr>
      <t xml:space="preserve">50%</t>
    </r>
    <r>
      <rPr>
        <b val="true"/>
        <sz val="10"/>
        <color rgb="FF111C29"/>
        <rFont val="Linux Libertine G"/>
        <family val="2"/>
      </rPr>
      <t xml:space="preserve">・検収</t>
    </r>
    <r>
      <rPr>
        <b val="true"/>
        <sz val="10"/>
        <color rgb="FF111C29"/>
        <rFont val="Linux Libertine G"/>
        <family val="2"/>
        <charset val="1"/>
      </rPr>
      <t xml:space="preserve">50%</t>
    </r>
    <r>
      <rPr>
        <b val="true"/>
        <sz val="10"/>
        <color rgb="FF111C29"/>
        <rFont val="Linux Libertine G"/>
        <family val="2"/>
      </rPr>
      <t xml:space="preserve">。支援は月単位・前月末申出で翌月変更。既存契約への遡及適用なし。</t>
    </r>
  </si>
  <si>
    <t xml:space="preserve">商品</t>
  </si>
  <si>
    <t xml:space="preserve">最大ページ</t>
  </si>
  <si>
    <t xml:space="preserve">週の目安</t>
  </si>
  <si>
    <t xml:space="preserve">制作費</t>
  </si>
  <si>
    <t xml:space="preserve">着手時</t>
  </si>
  <si>
    <t xml:space="preserve">検収時</t>
  </si>
  <si>
    <t xml:space="preserve">提供範囲</t>
  </si>
  <si>
    <r>
      <rPr>
        <sz val="10"/>
        <color rgb="FF111C29"/>
        <rFont val="Linux Libertine G"/>
        <family val="2"/>
      </rPr>
      <t xml:space="preserve">支給素材を使い、</t>
    </r>
    <r>
      <rPr>
        <sz val="10"/>
        <color rgb="FF111C29"/>
        <rFont val="Linux Libertine G"/>
        <family val="2"/>
        <charset val="1"/>
      </rPr>
      <t xml:space="preserve">1</t>
    </r>
    <r>
      <rPr>
        <sz val="10"/>
        <color rgb="FF111C29"/>
        <rFont val="Linux Libertine G"/>
        <family val="2"/>
      </rPr>
      <t xml:space="preserve">ページで事業を伝える。既存の構成を選び、確認</t>
    </r>
    <r>
      <rPr>
        <sz val="10"/>
        <color rgb="FF111C29"/>
        <rFont val="Linux Libertine G"/>
        <family val="2"/>
        <charset val="1"/>
      </rPr>
      <t xml:space="preserve">1</t>
    </r>
    <r>
      <rPr>
        <sz val="10"/>
        <color rgb="FF111C29"/>
        <rFont val="Linux Libertine G"/>
        <family val="2"/>
      </rPr>
      <t xml:space="preserve">回で仕上げます。</t>
    </r>
  </si>
  <si>
    <r>
      <rPr>
        <sz val="10"/>
        <color rgb="FF111C29"/>
        <rFont val="Linux Libertine G"/>
        <family val="2"/>
      </rPr>
      <t xml:space="preserve">最大</t>
    </r>
    <r>
      <rPr>
        <sz val="10"/>
        <color rgb="FF111C29"/>
        <rFont val="Linux Libertine G"/>
        <family val="2"/>
        <charset val="1"/>
      </rPr>
      <t xml:space="preserve">6</t>
    </r>
    <r>
      <rPr>
        <sz val="10"/>
        <color rgb="FF111C29"/>
        <rFont val="Linux Libertine G"/>
        <family val="2"/>
      </rPr>
      <t xml:space="preserve">ページでサービス・料金・信頼情報を整理。写真持込、確認</t>
    </r>
    <r>
      <rPr>
        <sz val="10"/>
        <color rgb="FF111C29"/>
        <rFont val="Linux Libertine G"/>
        <family val="2"/>
        <charset val="1"/>
      </rPr>
      <t xml:space="preserve">2</t>
    </r>
    <r>
      <rPr>
        <sz val="10"/>
        <color rgb="FF111C29"/>
        <rFont val="Linux Libertine G"/>
        <family val="2"/>
      </rPr>
      <t xml:space="preserve">回。</t>
    </r>
  </si>
  <si>
    <t xml:space="preserve">受付準備中。管理画面・記事と事例のテンプレートを提供確認後に受付を開始します。</t>
  </si>
  <si>
    <t xml:space="preserve">納期は素材・承認が揃った場合の目安。情報を育てるは受付準備中。顧客名義の契約先、ソースと利用可能な素材、手順書を納品します。</t>
  </si>
  <si>
    <t xml:space="preserve">入口→土台</t>
  </si>
  <si>
    <r>
      <rPr>
        <sz val="10"/>
        <color rgb="FF111C29"/>
        <rFont val="Linux Libertine G"/>
        <family val="2"/>
      </rPr>
      <t xml:space="preserve">同一事業・既存構成の再利用・</t>
    </r>
    <r>
      <rPr>
        <sz val="10"/>
        <color rgb="FF111C29"/>
        <rFont val="Linux Libertine G"/>
        <family val="2"/>
        <charset val="1"/>
      </rPr>
      <t xml:space="preserve">12</t>
    </r>
    <r>
      <rPr>
        <sz val="10"/>
        <color rgb="FF111C29"/>
        <rFont val="Linux Libertine G"/>
        <family val="2"/>
      </rPr>
      <t xml:space="preserve">か月以内・</t>
    </r>
    <r>
      <rPr>
        <sz val="10"/>
        <color rgb="FF111C29"/>
        <rFont val="Linux Libertine G"/>
        <family val="2"/>
        <charset val="1"/>
      </rPr>
      <t xml:space="preserve">1</t>
    </r>
    <r>
      <rPr>
        <sz val="10"/>
        <color rgb="FF111C29"/>
        <rFont val="Linux Libertine G"/>
        <family val="2"/>
      </rPr>
      <t xml:space="preserve">回の充当</t>
    </r>
  </si>
  <si>
    <t xml:space="preserve">土台→情報育成</t>
  </si>
  <si>
    <t xml:space="preserve">受付開始後。撮影・外部実費・継続支援は充当の対象外</t>
  </si>
  <si>
    <t xml:space="preserve">継続支援（月額・税別）</t>
  </si>
  <si>
    <t xml:space="preserve">月額</t>
  </si>
  <si>
    <r>
      <rPr>
        <b val="true"/>
        <sz val="10"/>
        <color rgb="FFFFFFFF"/>
        <rFont val="Linux Libertine G"/>
        <family val="2"/>
      </rPr>
      <t xml:space="preserve">月次作業枠</t>
    </r>
    <r>
      <rPr>
        <b val="true"/>
        <sz val="10"/>
        <color rgb="FFFFFFFF"/>
        <rFont val="Linux Libertine G"/>
        <family val="2"/>
        <charset val="1"/>
      </rPr>
      <t xml:space="preserve">(</t>
    </r>
    <r>
      <rPr>
        <b val="true"/>
        <sz val="10"/>
        <color rgb="FFFFFFFF"/>
        <rFont val="Linux Libertine G"/>
        <family val="2"/>
      </rPr>
      <t xml:space="preserve">分</t>
    </r>
    <r>
      <rPr>
        <b val="true"/>
        <sz val="10"/>
        <color rgb="FFFFFFFF"/>
        <rFont val="Linux Libertine G"/>
        <family val="2"/>
        <charset val="1"/>
      </rPr>
      <t xml:space="preserve">)</t>
    </r>
  </si>
  <si>
    <r>
      <rPr>
        <b val="true"/>
        <sz val="10"/>
        <color rgb="FFFFFFFF"/>
        <rFont val="Linux Libertine G"/>
        <family val="2"/>
      </rPr>
      <t xml:space="preserve">打合せ</t>
    </r>
    <r>
      <rPr>
        <b val="true"/>
        <sz val="10"/>
        <color rgb="FFFFFFFF"/>
        <rFont val="Linux Libertine G"/>
        <family val="2"/>
        <charset val="1"/>
      </rPr>
      <t xml:space="preserve">(</t>
    </r>
    <r>
      <rPr>
        <b val="true"/>
        <sz val="10"/>
        <color rgb="FFFFFFFF"/>
        <rFont val="Linux Libertine G"/>
        <family val="2"/>
      </rPr>
      <t xml:space="preserve">分</t>
    </r>
    <r>
      <rPr>
        <b val="true"/>
        <sz val="10"/>
        <color rgb="FFFFFFFF"/>
        <rFont val="Linux Libertine G"/>
        <family val="2"/>
        <charset val="1"/>
      </rPr>
      <t xml:space="preserve">)</t>
    </r>
  </si>
  <si>
    <t xml:space="preserve">含むもの</t>
  </si>
  <si>
    <t xml:space="preserve">納品時の引継ぎ資料／月次監視・変更作業・継続相談は含みません</t>
  </si>
  <si>
    <t xml:space="preserve">定型監視・期限管理（外部サービス実費別）／週次バックアップの確認／障害時の一次切り分け（営業時間内）／通常の変更・投稿・会議は対象外</t>
  </si>
  <si>
    <r>
      <rPr>
        <sz val="10"/>
        <color rgb="FF111C29"/>
        <rFont val="Linux Libertine G"/>
        <family val="2"/>
      </rPr>
      <t xml:space="preserve">「守る」の内容を含む／月</t>
    </r>
    <r>
      <rPr>
        <sz val="10"/>
        <color rgb="FF111C29"/>
        <rFont val="Linux Libertine G"/>
        <family val="2"/>
        <charset val="1"/>
      </rPr>
      <t xml:space="preserve">30</t>
    </r>
    <r>
      <rPr>
        <sz val="10"/>
        <color rgb="FF111C29"/>
        <rFont val="Linux Libertine G"/>
        <family val="2"/>
      </rPr>
      <t xml:space="preserve">分の変更作業／作業履歴と使用時間の共有／枠を超える前に翌月対応か追加見積もりを選択</t>
    </r>
  </si>
  <si>
    <r>
      <rPr>
        <sz val="10"/>
        <color rgb="FF111C29"/>
        <rFont val="Linux Libertine G"/>
        <family val="2"/>
      </rPr>
      <t xml:space="preserve">「守る」の内容を含む／月</t>
    </r>
    <r>
      <rPr>
        <sz val="10"/>
        <color rgb="FF111C29"/>
        <rFont val="Linux Libertine G"/>
        <family val="2"/>
        <charset val="1"/>
      </rPr>
      <t xml:space="preserve">90</t>
    </r>
    <r>
      <rPr>
        <sz val="10"/>
        <color rgb="FF111C29"/>
        <rFont val="Linux Libertine G"/>
        <family val="2"/>
      </rPr>
      <t xml:space="preserve">分の改善作業／月</t>
    </r>
    <r>
      <rPr>
        <sz val="10"/>
        <color rgb="FF111C29"/>
        <rFont val="Linux Libertine G"/>
        <family val="2"/>
        <charset val="1"/>
      </rPr>
      <t xml:space="preserve">30</t>
    </r>
    <r>
      <rPr>
        <sz val="10"/>
        <color rgb="FF111C29"/>
        <rFont val="Linux Libertine G"/>
        <family val="2"/>
      </rPr>
      <t xml:space="preserve">分の打合せ／施策</t>
    </r>
    <r>
      <rPr>
        <sz val="10"/>
        <color rgb="FF111C29"/>
        <rFont val="Linux Libertine G"/>
        <family val="2"/>
        <charset val="1"/>
      </rPr>
      <t xml:space="preserve">1</t>
    </r>
    <r>
      <rPr>
        <sz val="10"/>
        <color rgb="FF111C29"/>
        <rFont val="Linux Libertine G"/>
        <family val="2"/>
      </rPr>
      <t xml:space="preserve">件の確認記録／作業枠を資料・フォーム・既存</t>
    </r>
    <r>
      <rPr>
        <sz val="10"/>
        <color rgb="FF111C29"/>
        <rFont val="Linux Libertine G"/>
        <family val="2"/>
        <charset val="1"/>
      </rPr>
      <t xml:space="preserve">SaaS</t>
    </r>
    <r>
      <rPr>
        <sz val="10"/>
        <color rgb="FF111C29"/>
        <rFont val="Linux Libertine G"/>
        <family val="2"/>
      </rPr>
      <t xml:space="preserve">設定にも利用可／広告費・撮影・独自開発・記事の量産は対象外</t>
    </r>
  </si>
  <si>
    <r>
      <rPr>
        <b val="true"/>
        <sz val="10"/>
        <color rgb="FF111C29"/>
        <rFont val="Linux Libertine G"/>
        <family val="2"/>
      </rPr>
      <t xml:space="preserve">外部費は比較用に月</t>
    </r>
    <r>
      <rPr>
        <b val="true"/>
        <sz val="10"/>
        <color rgb="FF111C29"/>
        <rFont val="Linux Libertine G"/>
        <family val="2"/>
        <charset val="1"/>
      </rPr>
      <t xml:space="preserve">3,500</t>
    </r>
    <r>
      <rPr>
        <b val="true"/>
        <sz val="10"/>
        <color rgb="FF111C29"/>
        <rFont val="Linux Libertine G"/>
        <family val="2"/>
      </rPr>
      <t xml:space="preserve">円（税別）を仮置き。実費の上限ではありません。フォーム・保守の提供条件を確認してから契約します。</t>
    </r>
  </si>
  <si>
    <t xml:space="preserve">追加作業の参考見積もり</t>
  </si>
  <si>
    <t xml:space="preserve">作業</t>
  </si>
  <si>
    <t xml:space="preserve">参考額（税別）</t>
  </si>
  <si>
    <t xml:space="preserve">条件</t>
  </si>
  <si>
    <t xml:space="preserve">ページ追加（既存構成にないもの）</t>
  </si>
  <si>
    <t xml:space="preserve">原稿・写真の聞き取り込み</t>
  </si>
  <si>
    <t xml:space="preserve">出張撮影 半日（別見積もり）</t>
  </si>
  <si>
    <t xml:space="preserve">移動・編集・調整を含め、着手前に総額を確定</t>
  </si>
  <si>
    <r>
      <rPr>
        <sz val="10"/>
        <color rgb="FF111C29"/>
        <rFont val="Linux Libertine G"/>
        <family val="2"/>
      </rPr>
      <t xml:space="preserve">出張撮影 </t>
    </r>
    <r>
      <rPr>
        <sz val="10"/>
        <color rgb="FF111C29"/>
        <rFont val="Linux Libertine G"/>
        <family val="2"/>
        <charset val="1"/>
      </rPr>
      <t xml:space="preserve">1</t>
    </r>
    <r>
      <rPr>
        <sz val="10"/>
        <color rgb="FF111C29"/>
        <rFont val="Linux Libertine G"/>
        <family val="2"/>
      </rPr>
      <t xml:space="preserve">日（別見積もり）</t>
    </r>
  </si>
  <si>
    <r>
      <rPr>
        <sz val="10"/>
        <color rgb="FF111C29"/>
        <rFont val="Linux Libertine G"/>
        <family val="2"/>
      </rPr>
      <t xml:space="preserve">ロゴ制作（</t>
    </r>
    <r>
      <rPr>
        <sz val="10"/>
        <color rgb="FF111C29"/>
        <rFont val="Linux Libertine G"/>
        <family val="2"/>
        <charset val="1"/>
      </rPr>
      <t xml:space="preserve">3</t>
    </r>
    <r>
      <rPr>
        <sz val="10"/>
        <color rgb="FF111C29"/>
        <rFont val="Linux Libertine G"/>
        <family val="2"/>
      </rPr>
      <t xml:space="preserve">案・使用ルール付き）</t>
    </r>
  </si>
  <si>
    <t xml:space="preserve">記事の作成（取材あり）</t>
  </si>
  <si>
    <t xml:space="preserve">月次枠で完結しない記事制作は別見積もり</t>
  </si>
  <si>
    <r>
      <rPr>
        <sz val="10"/>
        <color rgb="FF111C29"/>
        <rFont val="Linux Libertine G"/>
        <family val="2"/>
      </rPr>
      <t xml:space="preserve">ランディングページ </t>
    </r>
    <r>
      <rPr>
        <sz val="10"/>
        <color rgb="FF111C29"/>
        <rFont val="Linux Libertine G"/>
        <family val="2"/>
        <charset val="1"/>
      </rPr>
      <t xml:space="preserve">1</t>
    </r>
    <r>
      <rPr>
        <sz val="10"/>
        <color rgb="FF111C29"/>
        <rFont val="Linux Libertine G"/>
        <family val="2"/>
      </rPr>
      <t xml:space="preserve">枚</t>
    </r>
  </si>
  <si>
    <t xml:space="preserve">キャンペーン・単一商品向け</t>
  </si>
  <si>
    <t xml:space="preserve">予約システムの連携</t>
  </si>
  <si>
    <t xml:space="preserve">月額はお客様が直接ご契約（当方は設定費のみ）</t>
  </si>
  <si>
    <r>
      <rPr>
        <sz val="10"/>
        <color rgb="FF111C29"/>
        <rFont val="Linux Libertine G"/>
        <family val="2"/>
      </rPr>
      <t xml:space="preserve">多言語対応 </t>
    </r>
    <r>
      <rPr>
        <sz val="10"/>
        <color rgb="FF111C29"/>
        <rFont val="Linux Libertine G"/>
        <family val="2"/>
        <charset val="1"/>
      </rPr>
      <t xml:space="preserve">1</t>
    </r>
    <r>
      <rPr>
        <sz val="10"/>
        <color rgb="FF111C29"/>
        <rFont val="Linux Libertine G"/>
        <family val="2"/>
      </rPr>
      <t xml:space="preserve">言語（</t>
    </r>
    <r>
      <rPr>
        <sz val="10"/>
        <color rgb="FF111C29"/>
        <rFont val="Linux Libertine G"/>
        <family val="2"/>
        <charset val="1"/>
      </rPr>
      <t xml:space="preserve">10</t>
    </r>
    <r>
      <rPr>
        <sz val="10"/>
        <color rgb="FF111C29"/>
        <rFont val="Linux Libertine G"/>
        <family val="2"/>
      </rPr>
      <t xml:space="preserve">ページ以下）</t>
    </r>
  </si>
  <si>
    <r>
      <rPr>
        <b val="true"/>
        <sz val="10"/>
        <color rgb="FF111C29"/>
        <rFont val="Linux Libertine G"/>
        <family val="2"/>
      </rPr>
      <t xml:space="preserve">金額は作業範囲を確認するための目安。撮影は移動・編集等も含めて総額を事前に合意。第三者素材・</t>
    </r>
    <r>
      <rPr>
        <b val="true"/>
        <sz val="10"/>
        <color rgb="FF111C29"/>
        <rFont val="Linux Libertine G"/>
        <family val="2"/>
        <charset val="1"/>
      </rPr>
      <t xml:space="preserve">SaaS</t>
    </r>
    <r>
      <rPr>
        <b val="true"/>
        <sz val="10"/>
        <color rgb="FF111C29"/>
        <rFont val="Linux Libertine G"/>
        <family val="2"/>
      </rPr>
      <t xml:space="preserve">の費用と利用条件を別途明示。</t>
    </r>
  </si>
  <si>
    <t xml:space="preserve">月次枠内で依頼を整理。自動追加請求・未使用分の繰越なし。</t>
  </si>
  <si>
    <t xml:space="preserve">扱い</t>
  </si>
  <si>
    <t xml:space="preserve">対象</t>
  </si>
  <si>
    <t xml:space="preserve">枠内の例</t>
  </si>
  <si>
    <t xml:space="preserve">文章の修正・差し替え</t>
  </si>
  <si>
    <t xml:space="preserve">内容と想定時間を先に確認</t>
  </si>
  <si>
    <t xml:space="preserve">写真の差し替え</t>
  </si>
  <si>
    <t xml:space="preserve">メニュー・料金の変更</t>
  </si>
  <si>
    <t xml:space="preserve">営業時間・定休日の変更</t>
  </si>
  <si>
    <t xml:space="preserve">既存テンプレートへのお知らせ投稿</t>
  </si>
  <si>
    <t xml:space="preserve">既存ページのスタッフ情報変更</t>
  </si>
  <si>
    <t xml:space="preserve">提供済みテンプレートへの事例追加</t>
  </si>
  <si>
    <t xml:space="preserve">リンクの修正</t>
  </si>
  <si>
    <t xml:space="preserve">既存ページの中での並べ替え</t>
  </si>
  <si>
    <t xml:space="preserve">別見積もり</t>
  </si>
  <si>
    <t xml:space="preserve">新しいページの追加</t>
  </si>
  <si>
    <r>
      <rPr>
        <sz val="10"/>
        <color rgb="FF111C29"/>
        <rFont val="Linux Libertine G"/>
        <family val="2"/>
      </rPr>
      <t xml:space="preserve">既存の構成にないページ </t>
    </r>
    <r>
      <rPr>
        <sz val="10"/>
        <color rgb="FF111C29"/>
        <rFont val="Linux Libertine G"/>
        <family val="2"/>
        <charset val="1"/>
      </rPr>
      <t xml:space="preserve">/ 33,000</t>
    </r>
    <r>
      <rPr>
        <sz val="10"/>
        <color rgb="FF111C29"/>
        <rFont val="Linux Libertine G"/>
        <family val="2"/>
      </rPr>
      <t xml:space="preserve">円／ページ</t>
    </r>
  </si>
  <si>
    <t xml:space="preserve">デザインの全面変更</t>
  </si>
  <si>
    <r>
      <rPr>
        <sz val="10"/>
        <color rgb="FF111C29"/>
        <rFont val="Linux Libertine G"/>
        <family val="2"/>
      </rPr>
      <t xml:space="preserve">配色・レイアウトを一から作り直す場合 </t>
    </r>
    <r>
      <rPr>
        <sz val="10"/>
        <color rgb="FF111C29"/>
        <rFont val="Linux Libertine G"/>
        <family val="2"/>
        <charset val="1"/>
      </rPr>
      <t xml:space="preserve">/ </t>
    </r>
    <r>
      <rPr>
        <sz val="10"/>
        <color rgb="FF111C29"/>
        <rFont val="Linux Libertine G"/>
        <family val="2"/>
      </rPr>
      <t xml:space="preserve">都度お見積り</t>
    </r>
  </si>
  <si>
    <t xml:space="preserve">他社サイトからの移管</t>
  </si>
  <si>
    <r>
      <rPr>
        <sz val="10"/>
        <color rgb="FF111C29"/>
        <rFont val="Linux Libertine G"/>
        <family val="2"/>
      </rPr>
      <t xml:space="preserve">既存サイトの引っ越し </t>
    </r>
    <r>
      <rPr>
        <sz val="10"/>
        <color rgb="FF111C29"/>
        <rFont val="Linux Libertine G"/>
        <family val="2"/>
        <charset val="1"/>
      </rPr>
      <t xml:space="preserve">/ </t>
    </r>
    <r>
      <rPr>
        <sz val="10"/>
        <color rgb="FF111C29"/>
        <rFont val="Linux Libertine G"/>
        <family val="2"/>
      </rPr>
      <t xml:space="preserve">都度お見積り</t>
    </r>
  </si>
  <si>
    <t xml:space="preserve">新しい機能の追加</t>
  </si>
  <si>
    <r>
      <rPr>
        <sz val="10"/>
        <color rgb="FF111C29"/>
        <rFont val="Linux Libertine G"/>
        <family val="2"/>
      </rPr>
      <t xml:space="preserve">予約システム・ネットショップ・会員機能など </t>
    </r>
    <r>
      <rPr>
        <sz val="10"/>
        <color rgb="FF111C29"/>
        <rFont val="Linux Libertine G"/>
        <family val="2"/>
        <charset val="1"/>
      </rPr>
      <t xml:space="preserve">/ </t>
    </r>
    <r>
      <rPr>
        <sz val="10"/>
        <color rgb="FF111C29"/>
        <rFont val="Linux Libertine G"/>
        <family val="2"/>
      </rPr>
      <t xml:space="preserve">都度お見積り</t>
    </r>
  </si>
  <si>
    <t xml:space="preserve">ロゴの新規制作</t>
  </si>
  <si>
    <r>
      <rPr>
        <sz val="10"/>
        <color rgb="FF111C29"/>
        <rFont val="游ゴシック"/>
        <family val="0"/>
        <charset val="1"/>
      </rPr>
      <t xml:space="preserve">— / 88,000</t>
    </r>
    <r>
      <rPr>
        <sz val="10"/>
        <color rgb="FF111C29"/>
        <rFont val="Linux Libertine G"/>
        <family val="2"/>
      </rPr>
      <t xml:space="preserve">円</t>
    </r>
  </si>
  <si>
    <t xml:space="preserve">撮影の追加</t>
  </si>
  <si>
    <r>
      <rPr>
        <sz val="10"/>
        <color rgb="FF111C29"/>
        <rFont val="Linux Libertine G"/>
        <family val="2"/>
      </rPr>
      <t xml:space="preserve">半日／</t>
    </r>
    <r>
      <rPr>
        <sz val="10"/>
        <color rgb="FF111C29"/>
        <rFont val="Linux Libertine G"/>
        <family val="2"/>
        <charset val="1"/>
      </rPr>
      <t xml:space="preserve">1</t>
    </r>
    <r>
      <rPr>
        <sz val="10"/>
        <color rgb="FF111C29"/>
        <rFont val="Linux Libertine G"/>
        <family val="2"/>
      </rPr>
      <t xml:space="preserve">日 </t>
    </r>
    <r>
      <rPr>
        <sz val="10"/>
        <color rgb="FF111C29"/>
        <rFont val="Linux Libertine G"/>
        <family val="2"/>
        <charset val="1"/>
      </rPr>
      <t xml:space="preserve">/ </t>
    </r>
    <r>
      <rPr>
        <sz val="10"/>
        <color rgb="FF111C29"/>
        <rFont val="Linux Libertine G"/>
        <family val="2"/>
      </rPr>
      <t xml:space="preserve">個別見積もり（移動・編集を含む）</t>
    </r>
  </si>
  <si>
    <r>
      <rPr>
        <b val="true"/>
        <sz val="10"/>
        <color rgb="FF111C29"/>
        <rFont val="Linux Libertine G"/>
        <family val="2"/>
      </rPr>
      <t xml:space="preserve">月合計を</t>
    </r>
    <r>
      <rPr>
        <b val="true"/>
        <sz val="10"/>
        <color rgb="FF111C29"/>
        <rFont val="Linux Libertine G"/>
        <family val="2"/>
        <charset val="1"/>
      </rPr>
      <t xml:space="preserve">5</t>
    </r>
    <r>
      <rPr>
        <b val="true"/>
        <sz val="10"/>
        <color rgb="FF111C29"/>
        <rFont val="Linux Libertine G"/>
        <family val="2"/>
      </rPr>
      <t xml:space="preserve">分単位で切上げ。依頼ごとに切り上げません。超過前に次月対応か追加見積もりを選択。紬の仕様不適合の修補は月次枠から引きません。</t>
    </r>
  </si>
  <si>
    <r>
      <rPr>
        <b val="true"/>
        <sz val="15"/>
        <color rgb="FF1F3049"/>
        <rFont val="Noto Sans CJK SC"/>
        <family val="2"/>
        <charset val="1"/>
      </rPr>
      <t xml:space="preserve">36</t>
    </r>
    <r>
      <rPr>
        <b val="true"/>
        <sz val="15"/>
        <color rgb="FF1F3049"/>
        <rFont val="Linux Libertine G"/>
        <family val="2"/>
      </rPr>
      <t xml:space="preserve">か月の総額（外部費概算を含む）</t>
    </r>
  </si>
  <si>
    <r>
      <rPr>
        <b val="true"/>
        <sz val="10"/>
        <color rgb="FF111C29"/>
        <rFont val="Linux Libertine G"/>
        <family val="2"/>
      </rPr>
      <t xml:space="preserve">参考価格の比較です。役務は同一ではありません。「守る」は通常変更なし、比較先は月</t>
    </r>
    <r>
      <rPr>
        <b val="true"/>
        <sz val="10"/>
        <color rgb="FF111C29"/>
        <rFont val="Linux Libertine G"/>
        <family val="2"/>
        <charset val="1"/>
      </rPr>
      <t xml:space="preserve">5</t>
    </r>
    <r>
      <rPr>
        <b val="true"/>
        <sz val="10"/>
        <color rgb="FF111C29"/>
        <rFont val="Linux Libertine G"/>
        <family val="2"/>
      </rPr>
      <t xml:space="preserve">回の更新を含みます。</t>
    </r>
  </si>
  <si>
    <t xml:space="preserve">月次保守</t>
  </si>
  <si>
    <t xml:space="preserve">月次外部費概算</t>
  </si>
  <si>
    <t xml:space="preserve">紬の総額</t>
  </si>
  <si>
    <t xml:space="preserve">参考先の総額</t>
  </si>
  <si>
    <t xml:space="preserve">差（紬−参考先）</t>
  </si>
  <si>
    <t xml:space="preserve">土台＋整える</t>
  </si>
  <si>
    <r>
      <rPr>
        <b val="true"/>
        <sz val="10"/>
        <color rgb="FF111C29"/>
        <rFont val="Linux Libertine G"/>
        <family val="2"/>
      </rPr>
      <t xml:space="preserve">すべて税別。外部費は仮定であり実見積もりに置換。最安値や効果の保証ではありません。情報を育てるは受付準備中。最低契約</t>
    </r>
    <r>
      <rPr>
        <b val="true"/>
        <sz val="10"/>
        <color rgb="FF111C29"/>
        <rFont val="Linux Libertine G"/>
        <family val="2"/>
        <charset val="1"/>
      </rPr>
      <t xml:space="preserve">6</t>
    </r>
    <r>
      <rPr>
        <b val="true"/>
        <sz val="10"/>
        <color rgb="FF111C29"/>
        <rFont val="Linux Libertine G"/>
        <family val="2"/>
      </rPr>
      <t xml:space="preserve">か月、</t>
    </r>
    <r>
      <rPr>
        <b val="true"/>
        <sz val="10"/>
        <color rgb="FF111C29"/>
        <rFont val="Linux Libertine G"/>
        <family val="2"/>
        <charset val="1"/>
      </rPr>
      <t xml:space="preserve">36</t>
    </r>
    <r>
      <rPr>
        <b val="true"/>
        <sz val="10"/>
        <color rgb="FF111C29"/>
        <rFont val="Linux Libertine G"/>
        <family val="2"/>
      </rPr>
      <t xml:space="preserve">か月後の継続・譲渡は比較先の条件を確認。</t>
    </r>
  </si>
  <si>
    <r>
      <rPr>
        <b val="true"/>
        <sz val="10"/>
        <color rgb="FF111C29"/>
        <rFont val="Linux Libertine G"/>
        <family val="2"/>
      </rPr>
      <t xml:space="preserve">出典</t>
    </r>
    <r>
      <rPr>
        <b val="true"/>
        <sz val="10"/>
        <color rgb="FF111C29"/>
        <rFont val="Linux Libertine G"/>
        <family val="2"/>
        <charset val="1"/>
      </rPr>
      <t xml:space="preserve">: https://www.propagateinc.com/web-design</t>
    </r>
    <r>
      <rPr>
        <b val="true"/>
        <sz val="10"/>
        <color rgb="FF111C29"/>
        <rFont val="Linux Libertine G"/>
        <family val="2"/>
      </rPr>
      <t xml:space="preserve">（</t>
    </r>
    <r>
      <rPr>
        <b val="true"/>
        <sz val="10"/>
        <color rgb="FF111C29"/>
        <rFont val="Linux Libertine G"/>
        <family val="2"/>
        <charset val="1"/>
      </rPr>
      <t xml:space="preserve">2026-09-14</t>
    </r>
    <r>
      <rPr>
        <b val="true"/>
        <sz val="10"/>
        <color rgb="FF111C29"/>
        <rFont val="Linux Libertine G"/>
        <family val="2"/>
      </rPr>
      <t xml:space="preserve">）。制作・更新量・所有条件・外部費の違いを契約前に比較します。</t>
    </r>
  </si>
  <si>
    <r>
      <rPr>
        <b val="true"/>
        <sz val="15"/>
        <color rgb="FF1F3049"/>
        <rFont val="Linux Libertine G"/>
        <family val="2"/>
      </rPr>
      <t xml:space="preserve">小規模事業者持続化補助金（一般型・通常枠）（第</t>
    </r>
    <r>
      <rPr>
        <b val="true"/>
        <sz val="15"/>
        <color rgb="FF1F3049"/>
        <rFont val="Linux Libertine G"/>
        <family val="2"/>
        <charset val="1"/>
      </rPr>
      <t xml:space="preserve">20</t>
    </r>
    <r>
      <rPr>
        <b val="true"/>
        <sz val="15"/>
        <color rgb="FF1F3049"/>
        <rFont val="Linux Libertine G"/>
        <family val="2"/>
      </rPr>
      <t xml:space="preserve">回）</t>
    </r>
  </si>
  <si>
    <r>
      <rPr>
        <sz val="9.5"/>
        <color rgb="FF5A6B7B"/>
        <rFont val="Linux Libertine G"/>
        <family val="2"/>
      </rPr>
      <t xml:space="preserve">補助率</t>
    </r>
    <r>
      <rPr>
        <sz val="9.5"/>
        <color rgb="FF5A6B7B"/>
        <rFont val="Linux Libertine G"/>
        <family val="2"/>
        <charset val="1"/>
      </rPr>
      <t xml:space="preserve">3</t>
    </r>
    <r>
      <rPr>
        <sz val="9.5"/>
        <color rgb="FF5A6B7B"/>
        <rFont val="Linux Libertine G"/>
        <family val="2"/>
      </rPr>
      <t xml:space="preserve">分の</t>
    </r>
    <r>
      <rPr>
        <sz val="9.5"/>
        <color rgb="FF5A6B7B"/>
        <rFont val="Linux Libertine G"/>
        <family val="2"/>
        <charset val="1"/>
      </rPr>
      <t xml:space="preserve">2</t>
    </r>
    <r>
      <rPr>
        <sz val="9.5"/>
        <color rgb="FF5A6B7B"/>
        <rFont val="Linux Libertine G"/>
        <family val="2"/>
      </rPr>
      <t xml:space="preserve">、上限</t>
    </r>
    <r>
      <rPr>
        <sz val="9.5"/>
        <color rgb="FF5A6B7B"/>
        <rFont val="Linux Libertine G"/>
        <family val="2"/>
        <charset val="1"/>
      </rPr>
      <t xml:space="preserve">500,000</t>
    </r>
    <r>
      <rPr>
        <sz val="9.5"/>
        <color rgb="FF5A6B7B"/>
        <rFont val="Linux Libertine G"/>
        <family val="2"/>
      </rPr>
      <t xml:space="preserve">円。ホームページに使える分は補助金額で</t>
    </r>
    <r>
      <rPr>
        <sz val="9.5"/>
        <color rgb="FF5A6B7B"/>
        <rFont val="Linux Libertine G"/>
        <family val="2"/>
        <charset val="1"/>
      </rPr>
      <t xml:space="preserve">300,000</t>
    </r>
    <r>
      <rPr>
        <sz val="9.5"/>
        <color rgb="FF5A6B7B"/>
        <rFont val="Linux Libertine G"/>
        <family val="2"/>
      </rPr>
      <t xml:space="preserve">円まで。</t>
    </r>
  </si>
  <si>
    <t xml:space="preserve">科目</t>
  </si>
  <si>
    <t xml:space="preserve">金額</t>
  </si>
  <si>
    <t xml:space="preserve">ウェブサイト関連費</t>
  </si>
  <si>
    <r>
      <rPr>
        <sz val="9.5"/>
        <color rgb="FF111C29"/>
        <rFont val="Linux Libertine G"/>
        <family val="2"/>
      </rPr>
      <t xml:space="preserve">事業の土台をつくる 最大</t>
    </r>
    <r>
      <rPr>
        <sz val="9.5"/>
        <color rgb="FF111C29"/>
        <rFont val="Linux Libertine G"/>
        <family val="2"/>
        <charset val="1"/>
      </rPr>
      <t xml:space="preserve">6</t>
    </r>
    <r>
      <rPr>
        <sz val="9.5"/>
        <color rgb="FF111C29"/>
        <rFont val="Linux Libertine G"/>
        <family val="2"/>
      </rPr>
      <t xml:space="preserve">ページ（原稿整理・写真持込）</t>
    </r>
  </si>
  <si>
    <t xml:space="preserve">広報費</t>
  </si>
  <si>
    <r>
      <rPr>
        <sz val="9.5"/>
        <color rgb="FF111C29"/>
        <rFont val="Linux Libertine G"/>
        <family val="2"/>
      </rPr>
      <t xml:space="preserve">ショップカード・チラシ制作＋印刷</t>
    </r>
    <r>
      <rPr>
        <sz val="9.5"/>
        <color rgb="FF111C29"/>
        <rFont val="Linux Libertine G"/>
        <family val="2"/>
        <charset val="1"/>
      </rPr>
      <t xml:space="preserve">1,000</t>
    </r>
    <r>
      <rPr>
        <sz val="9.5"/>
        <color rgb="FF111C29"/>
        <rFont val="Linux Libertine G"/>
        <family val="2"/>
      </rPr>
      <t xml:space="preserve">部</t>
    </r>
  </si>
  <si>
    <t xml:space="preserve">店頭看板／のぼり デザイン＋制作</t>
  </si>
  <si>
    <r>
      <rPr>
        <sz val="9.5"/>
        <color rgb="FF111C29"/>
        <rFont val="Linux Libertine G"/>
        <family val="2"/>
      </rPr>
      <t xml:space="preserve">追加撮影（商品・スタッフ）</t>
    </r>
    <r>
      <rPr>
        <sz val="9.5"/>
        <color rgb="FF111C29"/>
        <rFont val="Linux Libertine G"/>
        <family val="2"/>
        <charset val="1"/>
      </rPr>
      <t xml:space="preserve">1</t>
    </r>
    <r>
      <rPr>
        <sz val="9.5"/>
        <color rgb="FF111C29"/>
        <rFont val="Linux Libertine G"/>
        <family val="2"/>
      </rPr>
      <t xml:space="preserve">日</t>
    </r>
  </si>
  <si>
    <t xml:space="preserve">メニュー表・料金表のデザイン＋印刷</t>
  </si>
  <si>
    <t xml:space="preserve">合計</t>
  </si>
  <si>
    <t xml:space="preserve">補助額と自己負担の計算</t>
  </si>
  <si>
    <t xml:space="preserve">端数は切り捨て。ウェブ関連費には補助金額の上限がある。</t>
  </si>
  <si>
    <t xml:space="preserve">意味</t>
  </si>
  <si>
    <t xml:space="preserve">経費額。ここから補助率をかける</t>
  </si>
  <si>
    <t xml:space="preserve">チラシ・看板・撮影・メニュー表</t>
  </si>
  <si>
    <t xml:space="preserve">ウェブの補助額</t>
  </si>
  <si>
    <r>
      <rPr>
        <sz val="9"/>
        <color rgb="FF5A6B7B"/>
        <rFont val="Linux Libertine G"/>
        <family val="2"/>
      </rPr>
      <t xml:space="preserve">補助率をかけたあと、</t>
    </r>
    <r>
      <rPr>
        <sz val="9"/>
        <color rgb="FF5A6B7B"/>
        <rFont val="Linux Libertine G"/>
        <family val="2"/>
        <charset val="1"/>
      </rPr>
      <t xml:space="preserve">300,000</t>
    </r>
    <r>
      <rPr>
        <sz val="9"/>
        <color rgb="FF5A6B7B"/>
        <rFont val="Linux Libertine G"/>
        <family val="2"/>
      </rPr>
      <t xml:space="preserve">円で頭打ち</t>
    </r>
  </si>
  <si>
    <t xml:space="preserve">広報費の補助額</t>
  </si>
  <si>
    <t xml:space="preserve">全体の上限から、ウェブの補助額を引いた残りが天井</t>
  </si>
  <si>
    <t xml:space="preserve">補助額の合計</t>
  </si>
  <si>
    <r>
      <rPr>
        <sz val="9"/>
        <color rgb="FF5A6B7B"/>
        <rFont val="Linux Libertine G"/>
        <family val="2"/>
      </rPr>
      <t xml:space="preserve">全体の上限</t>
    </r>
    <r>
      <rPr>
        <sz val="9"/>
        <color rgb="FF5A6B7B"/>
        <rFont val="Linux Libertine G"/>
        <family val="2"/>
        <charset val="1"/>
      </rPr>
      <t xml:space="preserve">500,000</t>
    </r>
    <r>
      <rPr>
        <sz val="9"/>
        <color rgb="FF5A6B7B"/>
        <rFont val="Linux Libertine G"/>
        <family val="2"/>
      </rPr>
      <t xml:space="preserve">円</t>
    </r>
  </si>
  <si>
    <t xml:space="preserve">自己負担（実質）</t>
  </si>
  <si>
    <t xml:space="preserve">ここがお客様のご負担。ただし全額を立て替えたあとに入金される</t>
  </si>
  <si>
    <t xml:space="preserve">先に伝えておくこと</t>
  </si>
  <si>
    <t xml:space="preserve">ここを黙っていると、あとで必ず揉める。</t>
  </si>
  <si>
    <t xml:space="preserve">採択率</t>
  </si>
  <si>
    <r>
      <rPr>
        <sz val="9.5"/>
        <color rgb="FF111C29"/>
        <rFont val="游ゴシック"/>
        <family val="0"/>
        <charset val="1"/>
      </rPr>
      <t xml:space="preserve">47.2%</t>
    </r>
    <r>
      <rPr>
        <sz val="9.5"/>
        <color rgb="FF111C29"/>
        <rFont val="Linux Libertine G"/>
        <family val="2"/>
      </rPr>
      <t xml:space="preserve">（第</t>
    </r>
    <r>
      <rPr>
        <sz val="9.5"/>
        <color rgb="FF111C29"/>
        <rFont val="游ゴシック"/>
        <family val="0"/>
        <charset val="1"/>
      </rPr>
      <t xml:space="preserve">19</t>
    </r>
    <r>
      <rPr>
        <sz val="9.5"/>
        <color rgb="FF111C29"/>
        <rFont val="Linux Libertine G"/>
        <family val="2"/>
      </rPr>
      <t xml:space="preserve">回は</t>
    </r>
    <r>
      <rPr>
        <sz val="9.5"/>
        <color rgb="FF111C29"/>
        <rFont val="游ゴシック"/>
        <family val="0"/>
        <charset val="1"/>
      </rPr>
      <t xml:space="preserve">16,576</t>
    </r>
    <r>
      <rPr>
        <sz val="9.5"/>
        <color rgb="FF111C29"/>
        <rFont val="Linux Libertine G"/>
        <family val="2"/>
      </rPr>
      <t xml:space="preserve">件の申請に対し</t>
    </r>
    <r>
      <rPr>
        <sz val="9.5"/>
        <color rgb="FF111C29"/>
        <rFont val="游ゴシック"/>
        <family val="0"/>
        <charset val="1"/>
      </rPr>
      <t xml:space="preserve">7,819</t>
    </r>
    <r>
      <rPr>
        <sz val="9.5"/>
        <color rgb="FF111C29"/>
        <rFont val="Linux Libertine G"/>
        <family val="2"/>
      </rPr>
      <t xml:space="preserve">件が採択）。「必ず通ります」「実質無料です」とは言わない。通らなかった場合の扱いは契約前に書面で決める（ベーシックに縮小するか、白紙に戻すか）</t>
    </r>
  </si>
  <si>
    <t xml:space="preserve">入金の時期</t>
  </si>
  <si>
    <t xml:space="preserve">精算払い。お客様がいったん全額を立て替えて、実績報告のあとに入金される</t>
  </si>
  <si>
    <t xml:space="preserve">申請の代行</t>
  </si>
  <si>
    <r>
      <rPr>
        <sz val="9.5"/>
        <color rgb="FF111C29"/>
        <rFont val="Linux Libertine G"/>
        <family val="2"/>
      </rPr>
      <t xml:space="preserve">できない。</t>
    </r>
    <r>
      <rPr>
        <sz val="9.5"/>
        <color rgb="FF111C29"/>
        <rFont val="Linux Libertine G"/>
        <family val="2"/>
        <charset val="1"/>
      </rPr>
      <t xml:space="preserve">2026</t>
    </r>
    <r>
      <rPr>
        <sz val="9.5"/>
        <color rgb="FF111C29"/>
        <rFont val="Linux Libertine G"/>
        <family val="2"/>
      </rPr>
      <t xml:space="preserve">年</t>
    </r>
    <r>
      <rPr>
        <sz val="9.5"/>
        <color rgb="FF111C29"/>
        <rFont val="Linux Libertine G"/>
        <family val="2"/>
        <charset val="1"/>
      </rPr>
      <t xml:space="preserve">1</t>
    </r>
    <r>
      <rPr>
        <sz val="9.5"/>
        <color rgb="FF111C29"/>
        <rFont val="Linux Libertine G"/>
        <family val="2"/>
      </rPr>
      <t xml:space="preserve">月の行政書士法改正で、名目を問わず報酬を得て申請書類を作成することが明確に違反になった。制作費に申請代行を含めることもできない。計画づくりは商工会・商工会議所へ（無料。様式</t>
    </r>
    <r>
      <rPr>
        <sz val="9.5"/>
        <color rgb="FF111C29"/>
        <rFont val="Linux Libertine G"/>
        <family val="2"/>
        <charset val="1"/>
      </rPr>
      <t xml:space="preserve">4</t>
    </r>
    <r>
      <rPr>
        <sz val="9.5"/>
        <color rgb="FF111C29"/>
        <rFont val="Linux Libertine G"/>
        <family val="2"/>
      </rPr>
      <t xml:space="preserve">の発行窓口でもある）</t>
    </r>
  </si>
  <si>
    <t xml:space="preserve">当方が出すもの</t>
  </si>
  <si>
    <t xml:space="preserve">見積書と、効果の根拠になる資料。それをお客様が自分の言葉で申請書に書く</t>
  </si>
  <si>
    <t xml:space="preserve">着手の時期</t>
  </si>
  <si>
    <t xml:space="preserve">交付決定の前に着手しない。契約書の日付も決定日より後にする。ここがいちばん大事</t>
  </si>
  <si>
    <t xml:space="preserve">相見積り</t>
  </si>
  <si>
    <r>
      <rPr>
        <sz val="9.5"/>
        <color rgb="FF111C29"/>
        <rFont val="游ゴシック"/>
        <family val="0"/>
        <charset val="1"/>
      </rPr>
      <t xml:space="preserve">1</t>
    </r>
    <r>
      <rPr>
        <sz val="9.5"/>
        <color rgb="FF111C29"/>
        <rFont val="Linux Libertine G"/>
        <family val="2"/>
      </rPr>
      <t xml:space="preserve">件</t>
    </r>
    <r>
      <rPr>
        <sz val="9.5"/>
        <color rgb="FF111C29"/>
        <rFont val="游ゴシック"/>
        <family val="0"/>
        <charset val="1"/>
      </rPr>
      <t xml:space="preserve">50</t>
    </r>
    <r>
      <rPr>
        <sz val="9.5"/>
        <color rgb="FF111C29"/>
        <rFont val="Linux Libertine G"/>
        <family val="2"/>
      </rPr>
      <t xml:space="preserve">万円（税込）を超える発注には</t>
    </r>
    <r>
      <rPr>
        <sz val="9.5"/>
        <color rgb="FF111C29"/>
        <rFont val="游ゴシック"/>
        <family val="0"/>
        <charset val="1"/>
      </rPr>
      <t xml:space="preserve">2</t>
    </r>
    <r>
      <rPr>
        <sz val="9.5"/>
        <color rgb="FF111C29"/>
        <rFont val="Linux Libertine G"/>
        <family val="2"/>
      </rPr>
      <t xml:space="preserve">者以上の見積りが必要。最初に伝える</t>
    </r>
  </si>
  <si>
    <t xml:space="preserve">申請の締切</t>
  </si>
  <si>
    <r>
      <rPr>
        <sz val="9.5"/>
        <color rgb="FF111C29"/>
        <rFont val="游ゴシック"/>
        <family val="0"/>
        <charset val="1"/>
      </rPr>
      <t xml:space="preserve">2026</t>
    </r>
    <r>
      <rPr>
        <sz val="9.5"/>
        <color rgb="FF111C29"/>
        <rFont val="Linux Libertine G"/>
        <family val="2"/>
      </rPr>
      <t xml:space="preserve">年</t>
    </r>
    <r>
      <rPr>
        <sz val="9.5"/>
        <color rgb="FF111C29"/>
        <rFont val="游ゴシック"/>
        <family val="0"/>
        <charset val="1"/>
      </rPr>
      <t xml:space="preserve">12</t>
    </r>
    <r>
      <rPr>
        <sz val="9.5"/>
        <color rgb="FF111C29"/>
        <rFont val="Linux Libertine G"/>
        <family val="2"/>
      </rPr>
      <t xml:space="preserve">月</t>
    </r>
    <r>
      <rPr>
        <sz val="9.5"/>
        <color rgb="FF111C29"/>
        <rFont val="游ゴシック"/>
        <family val="0"/>
        <charset val="1"/>
      </rPr>
      <t xml:space="preserve">15</t>
    </r>
    <r>
      <rPr>
        <sz val="9.5"/>
        <color rgb="FF111C29"/>
        <rFont val="Linux Libertine G"/>
        <family val="2"/>
      </rPr>
      <t xml:space="preserve">日（火）</t>
    </r>
    <r>
      <rPr>
        <sz val="9.5"/>
        <color rgb="FF111C29"/>
        <rFont val="游ゴシック"/>
        <family val="0"/>
        <charset val="1"/>
      </rPr>
      <t xml:space="preserve">17:00</t>
    </r>
  </si>
  <si>
    <r>
      <rPr>
        <b val="true"/>
        <sz val="10"/>
        <color rgb="FF111C29"/>
        <rFont val="Linux Libertine G"/>
        <family val="2"/>
      </rPr>
      <t xml:space="preserve">様式</t>
    </r>
    <r>
      <rPr>
        <b val="true"/>
        <sz val="10"/>
        <color rgb="FF111C29"/>
        <rFont val="Linux Libertine G"/>
        <family val="2"/>
        <charset val="1"/>
      </rPr>
      <t xml:space="preserve">4</t>
    </r>
    <r>
      <rPr>
        <b val="true"/>
        <sz val="10"/>
        <color rgb="FF111C29"/>
        <rFont val="Linux Libertine G"/>
        <family val="2"/>
      </rPr>
      <t xml:space="preserve">（商工会）</t>
    </r>
  </si>
  <si>
    <r>
      <rPr>
        <sz val="9.5"/>
        <color rgb="FF111C29"/>
        <rFont val="游ゴシック"/>
        <family val="0"/>
        <charset val="1"/>
      </rPr>
      <t xml:space="preserve">2026</t>
    </r>
    <r>
      <rPr>
        <sz val="9.5"/>
        <color rgb="FF111C29"/>
        <rFont val="Linux Libertine G"/>
        <family val="2"/>
      </rPr>
      <t xml:space="preserve">年</t>
    </r>
    <r>
      <rPr>
        <sz val="9.5"/>
        <color rgb="FF111C29"/>
        <rFont val="游ゴシック"/>
        <family val="0"/>
        <charset val="1"/>
      </rPr>
      <t xml:space="preserve">12</t>
    </r>
    <r>
      <rPr>
        <sz val="9.5"/>
        <color rgb="FF111C29"/>
        <rFont val="Linux Libertine G"/>
        <family val="2"/>
      </rPr>
      <t xml:space="preserve">月</t>
    </r>
    <r>
      <rPr>
        <sz val="9.5"/>
        <color rgb="FF111C29"/>
        <rFont val="游ゴシック"/>
        <family val="0"/>
        <charset val="1"/>
      </rPr>
      <t xml:space="preserve">4</t>
    </r>
    <r>
      <rPr>
        <sz val="9.5"/>
        <color rgb="FF111C29"/>
        <rFont val="Linux Libertine G"/>
        <family val="2"/>
      </rPr>
      <t xml:space="preserve">日（金）まで。年末は混むので</t>
    </r>
    <r>
      <rPr>
        <sz val="9.5"/>
        <color rgb="FF111C29"/>
        <rFont val="游ゴシック"/>
        <family val="0"/>
        <charset val="1"/>
      </rPr>
      <t xml:space="preserve">11</t>
    </r>
    <r>
      <rPr>
        <sz val="9.5"/>
        <color rgb="FF111C29"/>
        <rFont val="Linux Libertine G"/>
        <family val="2"/>
      </rPr>
      <t xml:space="preserve">月上旬までが安全</t>
    </r>
  </si>
  <si>
    <t xml:space="preserve">なぜ単独で申請できないか</t>
  </si>
  <si>
    <t xml:space="preserve">この補助金はホームページ関連費だけでは申請できない。必ず他の経費と一緒に出す。だから同じ写真・同じ文章でチラシ・看板・メニュー表までまとめて作る（撮影も原稿も一度で済むので、別々に頼むより安い）</t>
  </si>
  <si>
    <r>
      <rPr>
        <sz val="9"/>
        <color rgb="FF5A6B7B"/>
        <rFont val="Linux Libertine G"/>
        <family val="2"/>
      </rPr>
      <t xml:space="preserve">市町村ごとの補助金もある。ただし「ホームページ補助金」という名前ではなく、「販路開拓」「産業振興」「</t>
    </r>
    <r>
      <rPr>
        <sz val="9"/>
        <color rgb="FF5A6B7B"/>
        <rFont val="Linux Libertine G"/>
        <family val="2"/>
        <charset val="1"/>
      </rPr>
      <t xml:space="preserve">DX</t>
    </r>
    <r>
      <rPr>
        <sz val="9"/>
        <color rgb="FF5A6B7B"/>
        <rFont val="Linux Libertine G"/>
        <family val="2"/>
      </rPr>
      <t xml:space="preserve">推進」の枠のなかの</t>
    </r>
    <r>
      <rPr>
        <sz val="9"/>
        <color rgb="FF5A6B7B"/>
        <rFont val="Linux Libertine G"/>
        <family val="2"/>
        <charset val="1"/>
      </rPr>
      <t xml:space="preserve">1</t>
    </r>
    <r>
      <rPr>
        <sz val="9"/>
        <color rgb="FF5A6B7B"/>
        <rFont val="Linux Libertine G"/>
        <family val="2"/>
      </rPr>
      <t xml:space="preserve">メニューになっていることが多い。予算に達すると早期終了する（ある県では</t>
    </r>
    <r>
      <rPr>
        <sz val="9"/>
        <color rgb="FF5A6B7B"/>
        <rFont val="Linux Libertine G"/>
        <family val="2"/>
        <charset val="1"/>
      </rPr>
      <t xml:space="preserve">9</t>
    </r>
    <r>
      <rPr>
        <sz val="9"/>
        <color rgb="FF5A6B7B"/>
        <rFont val="Linux Libertine G"/>
        <family val="2"/>
      </rPr>
      <t xml:space="preserve">月</t>
    </r>
    <r>
      <rPr>
        <sz val="9"/>
        <color rgb="FF5A6B7B"/>
        <rFont val="Linux Libertine G"/>
        <family val="2"/>
        <charset val="1"/>
      </rPr>
      <t xml:space="preserve">30</t>
    </r>
    <r>
      <rPr>
        <sz val="9"/>
        <color rgb="FF5A6B7B"/>
        <rFont val="Linux Libertine G"/>
        <family val="2"/>
      </rPr>
      <t xml:space="preserve">日締切の制度が</t>
    </r>
    <r>
      <rPr>
        <sz val="9"/>
        <color rgb="FF5A6B7B"/>
        <rFont val="Linux Libertine G"/>
        <family val="2"/>
        <charset val="1"/>
      </rPr>
      <t xml:space="preserve">8</t>
    </r>
    <r>
      <rPr>
        <sz val="9"/>
        <color rgb="FF5A6B7B"/>
        <rFont val="Linux Libertine G"/>
        <family val="2"/>
      </rPr>
      <t xml:space="preserve">月</t>
    </r>
    <r>
      <rPr>
        <sz val="9"/>
        <color rgb="FF5A6B7B"/>
        <rFont val="Linux Libertine G"/>
        <family val="2"/>
        <charset val="1"/>
      </rPr>
      <t xml:space="preserve">28</t>
    </r>
    <r>
      <rPr>
        <sz val="9"/>
        <color rgb="FF5A6B7B"/>
        <rFont val="Linux Libertine G"/>
        <family val="2"/>
      </rPr>
      <t xml:space="preserve">日に終了した）。毎週チェックする。</t>
    </r>
  </si>
  <si>
    <t xml:space="preserve">掲載費と支援費の差額（税込）</t>
  </si>
  <si>
    <t xml:space="preserve">掲載費変更による集客への影響は別。制作費と予約等の追加費も加えて判断します。</t>
  </si>
  <si>
    <t xml:space="preserve">プラン</t>
  </si>
  <si>
    <r>
      <rPr>
        <b val="true"/>
        <sz val="10"/>
        <color rgb="FFFFFFFF"/>
        <rFont val="Linux Libertine G"/>
        <family val="2"/>
      </rPr>
      <t xml:space="preserve">掲載料</t>
    </r>
    <r>
      <rPr>
        <b val="true"/>
        <sz val="10"/>
        <color rgb="FFFFFFFF"/>
        <rFont val="Linux Libertine G"/>
        <family val="2"/>
        <charset val="1"/>
      </rPr>
      <t xml:space="preserve">/</t>
    </r>
    <r>
      <rPr>
        <b val="true"/>
        <sz val="10"/>
        <color rgb="FFFFFFFF"/>
        <rFont val="Linux Libertine G"/>
        <family val="2"/>
      </rPr>
      <t xml:space="preserve">月</t>
    </r>
  </si>
  <si>
    <r>
      <rPr>
        <b val="true"/>
        <sz val="10"/>
        <color rgb="FFFFFFFF"/>
        <rFont val="Linux Libertine G"/>
        <family val="2"/>
      </rPr>
      <t xml:space="preserve">整える＋外部費</t>
    </r>
    <r>
      <rPr>
        <b val="true"/>
        <sz val="10"/>
        <color rgb="FFFFFFFF"/>
        <rFont val="Linux Libertine G"/>
        <family val="2"/>
        <charset val="1"/>
      </rPr>
      <t xml:space="preserve">/</t>
    </r>
    <r>
      <rPr>
        <b val="true"/>
        <sz val="10"/>
        <color rgb="FFFFFFFF"/>
        <rFont val="Linux Libertine G"/>
        <family val="2"/>
      </rPr>
      <t xml:space="preserve">月</t>
    </r>
  </si>
  <si>
    <r>
      <rPr>
        <b val="true"/>
        <sz val="10"/>
        <color rgb="FFFFFFFF"/>
        <rFont val="Linux Libertine G"/>
        <family val="2"/>
      </rPr>
      <t xml:space="preserve">差額</t>
    </r>
    <r>
      <rPr>
        <b val="true"/>
        <sz val="10"/>
        <color rgb="FFFFFFFF"/>
        <rFont val="Linux Libertine G"/>
        <family val="2"/>
        <charset val="1"/>
      </rPr>
      <t xml:space="preserve">/</t>
    </r>
    <r>
      <rPr>
        <b val="true"/>
        <sz val="10"/>
        <color rgb="FFFFFFFF"/>
        <rFont val="Linux Libertine G"/>
        <family val="2"/>
      </rPr>
      <t xml:space="preserve">月</t>
    </r>
  </si>
  <si>
    <r>
      <rPr>
        <sz val="10"/>
        <color rgb="FF111C29"/>
        <rFont val="Linux Libertine G"/>
        <family val="2"/>
      </rPr>
      <t xml:space="preserve">プレミアム</t>
    </r>
    <r>
      <rPr>
        <sz val="10"/>
        <color rgb="FF111C29"/>
        <rFont val="Linux Libertine G"/>
        <family val="2"/>
        <charset val="1"/>
      </rPr>
      <t xml:space="preserve">10</t>
    </r>
  </si>
  <si>
    <t xml:space="preserve">掲載を無料にできる契約の場合。送客手数料は別途</t>
  </si>
  <si>
    <r>
      <rPr>
        <sz val="10"/>
        <color rgb="FF111C29"/>
        <rFont val="Linux Libertine G"/>
        <family val="2"/>
      </rPr>
      <t xml:space="preserve">プレミアム</t>
    </r>
    <r>
      <rPr>
        <sz val="10"/>
        <color rgb="FF111C29"/>
        <rFont val="Linux Libertine G"/>
        <family val="2"/>
        <charset val="1"/>
      </rPr>
      <t xml:space="preserve">5</t>
    </r>
  </si>
  <si>
    <t xml:space="preserve">予約人数の単純目安</t>
  </si>
  <si>
    <r>
      <rPr>
        <sz val="10"/>
        <color rgb="FF111C29"/>
        <rFont val="Linux Libertine G"/>
        <family val="2"/>
      </rPr>
      <t xml:space="preserve">ディナー税込</t>
    </r>
    <r>
      <rPr>
        <sz val="10"/>
        <color rgb="FF111C29"/>
        <rFont val="Linux Libertine G"/>
        <family val="2"/>
        <charset val="1"/>
      </rPr>
      <t xml:space="preserve">220</t>
    </r>
    <r>
      <rPr>
        <sz val="10"/>
        <color rgb="FF111C29"/>
        <rFont val="Linux Libertine G"/>
        <family val="2"/>
      </rPr>
      <t xml:space="preserve">円</t>
    </r>
    <r>
      <rPr>
        <sz val="10"/>
        <color rgb="FF111C29"/>
        <rFont val="Linux Libertine G"/>
        <family val="2"/>
        <charset val="1"/>
      </rPr>
      <t xml:space="preserve">/</t>
    </r>
    <r>
      <rPr>
        <sz val="10"/>
        <color rgb="FF111C29"/>
        <rFont val="Linux Libertine G"/>
        <family val="2"/>
      </rPr>
      <t xml:space="preserve">人の仮定。制作費を除く支援費＋外部費との比較</t>
    </r>
  </si>
  <si>
    <t xml:space="preserve">食べログ公開料金を元にした参考。最新の契約・手数料を個別確認。掲載をやめる提案を先に決めず、予約減少による限界利益への影響を確かめます。</t>
  </si>
  <si>
    <r>
      <rPr>
        <b val="true"/>
        <sz val="15"/>
        <color rgb="FF1F3049"/>
        <rFont val="Linux Libertine G"/>
        <family val="2"/>
      </rPr>
      <t xml:space="preserve">全業種に共通する</t>
    </r>
    <r>
      <rPr>
        <b val="true"/>
        <sz val="15"/>
        <color rgb="FF1F3049"/>
        <rFont val="Linux Libertine G"/>
        <family val="2"/>
        <charset val="1"/>
      </rPr>
      <t xml:space="preserve">20</t>
    </r>
    <r>
      <rPr>
        <b val="true"/>
        <sz val="15"/>
        <color rgb="FF1F3049"/>
        <rFont val="Linux Libertine G"/>
        <family val="2"/>
      </rPr>
      <t xml:space="preserve">項目</t>
    </r>
  </si>
  <si>
    <r>
      <rPr>
        <sz val="9.5"/>
        <color rgb="FF5A6B7B"/>
        <rFont val="Linux Libertine G"/>
        <family val="2"/>
      </rPr>
      <t xml:space="preserve">数字が出ているものだけを入れる。</t>
    </r>
    <r>
      <rPr>
        <sz val="9.5"/>
        <color rgb="FF5A6B7B"/>
        <rFont val="Linux Libertine G"/>
        <family val="2"/>
        <charset val="1"/>
      </rPr>
      <t xml:space="preserve">20</t>
    </r>
    <r>
      <rPr>
        <sz val="9.5"/>
        <color rgb="FF5A6B7B"/>
        <rFont val="Linux Libertine G"/>
        <family val="2"/>
      </rPr>
      <t xml:space="preserve">項目すべてを自動でチェックし、</t>
    </r>
    <r>
      <rPr>
        <sz val="9.5"/>
        <color rgb="FF5A6B7B"/>
        <rFont val="Linux Libertine G"/>
        <family val="2"/>
        <charset val="1"/>
      </rPr>
      <t xml:space="preserve">1</t>
    </r>
    <r>
      <rPr>
        <sz val="9.5"/>
        <color rgb="FF5A6B7B"/>
        <rFont val="Linux Libertine G"/>
        <family val="2"/>
      </rPr>
      <t xml:space="preserve">つでも落ちたら納品しない。</t>
    </r>
  </si>
  <si>
    <t xml:space="preserve">#</t>
  </si>
  <si>
    <t xml:space="preserve">区分</t>
  </si>
  <si>
    <t xml:space="preserve">根拠（なぜ入れるか）</t>
  </si>
  <si>
    <t xml:space="preserve">情報</t>
  </si>
  <si>
    <t xml:space="preserve">電話番号を全ページの上部に、文字で置きます</t>
  </si>
  <si>
    <r>
      <rPr>
        <sz val="9"/>
        <color rgb="FF111C29"/>
        <rFont val="Linux Libertine G"/>
        <family val="2"/>
      </rPr>
      <t xml:space="preserve">画像にした電話番号は</t>
    </r>
    <r>
      <rPr>
        <sz val="9"/>
        <color rgb="FF111C29"/>
        <rFont val="Linux Libertine G"/>
        <family val="2"/>
        <charset val="1"/>
      </rPr>
      <t xml:space="preserve">Google</t>
    </r>
    <r>
      <rPr>
        <sz val="9"/>
        <color rgb="FF111C29"/>
        <rFont val="Linux Libertine G"/>
        <family val="2"/>
      </rPr>
      <t xml:space="preserve">が読めず、スマホでタップしても発信できません。連絡先を決める段階で重視される要素の</t>
    </r>
    <r>
      <rPr>
        <sz val="9"/>
        <color rgb="FF111C29"/>
        <rFont val="Linux Libertine G"/>
        <family val="2"/>
        <charset val="1"/>
      </rPr>
      <t xml:space="preserve">1</t>
    </r>
    <r>
      <rPr>
        <sz val="9"/>
        <color rgb="FF111C29"/>
        <rFont val="Linux Libertine G"/>
        <family val="2"/>
      </rPr>
      <t xml:space="preserve">位は「営業時間・住所・電話がはっきり書かれていること」（</t>
    </r>
    <r>
      <rPr>
        <sz val="9"/>
        <color rgb="FF111C29"/>
        <rFont val="Linux Libertine G"/>
        <family val="2"/>
        <charset val="1"/>
      </rPr>
      <t xml:space="preserve">32%</t>
    </r>
    <r>
      <rPr>
        <sz val="9"/>
        <color rgb="FF111C29"/>
        <rFont val="Linux Libertine G"/>
        <family val="2"/>
      </rPr>
      <t xml:space="preserve">）です。</t>
    </r>
  </si>
  <si>
    <t xml:space="preserve">営業時間を、定休日・臨時休業・年末年始まで書きます</t>
  </si>
  <si>
    <r>
      <rPr>
        <sz val="9"/>
        <color rgb="FF111C29"/>
        <rFont val="Linux Libertine G"/>
        <family val="2"/>
      </rPr>
      <t xml:space="preserve">同じく</t>
    </r>
    <r>
      <rPr>
        <sz val="9"/>
        <color rgb="FF111C29"/>
        <rFont val="Linux Libertine G"/>
        <family val="2"/>
        <charset val="1"/>
      </rPr>
      <t xml:space="preserve">1</t>
    </r>
    <r>
      <rPr>
        <sz val="9"/>
        <color rgb="FF111C29"/>
        <rFont val="Linux Libertine G"/>
        <family val="2"/>
      </rPr>
      <t xml:space="preserve">位の要素です。文字で書くので検索にも反映されます。</t>
    </r>
  </si>
  <si>
    <t xml:space="preserve">住所・地図・アクセス・駐車場の有無を書きます</t>
  </si>
  <si>
    <r>
      <rPr>
        <sz val="9"/>
        <color rgb="FF111C29"/>
        <rFont val="Linux Libertine G"/>
        <family val="2"/>
      </rPr>
      <t xml:space="preserve">お店を探す段階で最も見られている要素が「住所・近さ」（</t>
    </r>
    <r>
      <rPr>
        <sz val="9"/>
        <color rgb="FF111C29"/>
        <rFont val="Linux Libertine G"/>
        <family val="2"/>
        <charset val="1"/>
      </rPr>
      <t xml:space="preserve">44%</t>
    </r>
    <r>
      <rPr>
        <sz val="9"/>
        <color rgb="FF111C29"/>
        <rFont val="Linux Libertine G"/>
        <family val="2"/>
      </rPr>
      <t xml:space="preserve">）。</t>
    </r>
    <r>
      <rPr>
        <sz val="9"/>
        <color rgb="FF111C29"/>
        <rFont val="Linux Libertine G"/>
        <family val="2"/>
        <charset val="1"/>
      </rPr>
      <t xml:space="preserve">Google</t>
    </r>
    <r>
      <rPr>
        <sz val="9"/>
        <color rgb="FF111C29"/>
        <rFont val="Linux Libertine G"/>
        <family val="2"/>
      </rPr>
      <t xml:space="preserve">マップ経由の行動の</t>
    </r>
    <r>
      <rPr>
        <sz val="9"/>
        <color rgb="FF111C29"/>
        <rFont val="Linux Libertine G"/>
        <family val="2"/>
        <charset val="1"/>
      </rPr>
      <t xml:space="preserve">38%</t>
    </r>
    <r>
      <rPr>
        <sz val="9"/>
        <color rgb="FF111C29"/>
        <rFont val="Linux Libertine G"/>
        <family val="2"/>
      </rPr>
      <t xml:space="preserve">が経路検索です。</t>
    </r>
  </si>
  <si>
    <t xml:space="preserve">料金を必ず何らかの形で出します</t>
  </si>
  <si>
    <r>
      <rPr>
        <sz val="9"/>
        <color rgb="FF111C29"/>
        <rFont val="Linux Libertine G"/>
        <family val="2"/>
      </rPr>
      <t xml:space="preserve">連絡しなかった理由の</t>
    </r>
    <r>
      <rPr>
        <sz val="9"/>
        <color rgb="FF111C29"/>
        <rFont val="Linux Libertine G"/>
        <family val="2"/>
        <charset val="1"/>
      </rPr>
      <t xml:space="preserve">2</t>
    </r>
    <r>
      <rPr>
        <sz val="9"/>
        <color rgb="FF111C29"/>
        <rFont val="Linux Libertine G"/>
        <family val="2"/>
      </rPr>
      <t xml:space="preserve">位が「料金が不明確」（</t>
    </r>
    <r>
      <rPr>
        <sz val="9"/>
        <color rgb="FF111C29"/>
        <rFont val="Linux Libertine G"/>
        <family val="2"/>
        <charset val="1"/>
      </rPr>
      <t xml:space="preserve">32%</t>
    </r>
    <r>
      <rPr>
        <sz val="9"/>
        <color rgb="FF111C29"/>
        <rFont val="Linux Libertine G"/>
        <family val="2"/>
      </rPr>
      <t xml:space="preserve">）で、星の評価（</t>
    </r>
    <r>
      <rPr>
        <sz val="9"/>
        <color rgb="FF111C29"/>
        <rFont val="Linux Libertine G"/>
        <family val="2"/>
        <charset val="1"/>
      </rPr>
      <t xml:space="preserve">30%</t>
    </r>
    <r>
      <rPr>
        <sz val="9"/>
        <color rgb="FF111C29"/>
        <rFont val="Linux Libertine G"/>
        <family val="2"/>
      </rPr>
      <t xml:space="preserve">）より上です。「お見積り」でも、算出の考え方と目安の幅は出します。ただし安く見せることはしません。</t>
    </r>
  </si>
  <si>
    <t xml:space="preserve">業種によって、電話とフォームのどちらを主役にするかを入れ替えます</t>
  </si>
  <si>
    <r>
      <rPr>
        <sz val="9"/>
        <color rgb="FF111C29"/>
        <rFont val="Linux Libertine G"/>
        <family val="2"/>
      </rPr>
      <t xml:space="preserve">調査では士業は電話が</t>
    </r>
    <r>
      <rPr>
        <sz val="9"/>
        <color rgb="FF111C29"/>
        <rFont val="Linux Libertine G"/>
        <family val="2"/>
        <charset val="1"/>
      </rPr>
      <t xml:space="preserve">56%</t>
    </r>
    <r>
      <rPr>
        <sz val="9"/>
        <color rgb="FF111C29"/>
        <rFont val="Linux Libertine G"/>
        <family val="2"/>
      </rPr>
      <t xml:space="preserve">・フォームが</t>
    </r>
    <r>
      <rPr>
        <sz val="9"/>
        <color rgb="FF111C29"/>
        <rFont val="Linux Libertine G"/>
        <family val="2"/>
        <charset val="1"/>
      </rPr>
      <t xml:space="preserve">44%</t>
    </r>
    <r>
      <rPr>
        <sz val="9"/>
        <color rgb="FF111C29"/>
        <rFont val="Linux Libertine G"/>
        <family val="2"/>
      </rPr>
      <t xml:space="preserve">、美容室はフォームが</t>
    </r>
    <r>
      <rPr>
        <sz val="9"/>
        <color rgb="FF111C29"/>
        <rFont val="Linux Libertine G"/>
        <family val="2"/>
        <charset val="1"/>
      </rPr>
      <t xml:space="preserve">92%</t>
    </r>
    <r>
      <rPr>
        <sz val="9"/>
        <color rgb="FF111C29"/>
        <rFont val="Linux Libertine G"/>
        <family val="2"/>
      </rPr>
      <t xml:space="preserve">・電話が</t>
    </r>
    <r>
      <rPr>
        <sz val="9"/>
        <color rgb="FF111C29"/>
        <rFont val="Linux Libertine G"/>
        <family val="2"/>
        <charset val="1"/>
      </rPr>
      <t xml:space="preserve">8%</t>
    </r>
    <r>
      <rPr>
        <sz val="9"/>
        <color rgb="FF111C29"/>
        <rFont val="Linux Libertine G"/>
        <family val="2"/>
      </rPr>
      <t xml:space="preserve">と真逆でした。同じ作りを全業種に当てるのは合いません。</t>
    </r>
  </si>
  <si>
    <t xml:space="preserve">対応エリアを書きます（工務店・士業は市町村ごとに）</t>
  </si>
  <si>
    <r>
      <rPr>
        <sz val="9"/>
        <color rgb="FF111C29"/>
        <rFont val="Linux Libertine G"/>
        <family val="2"/>
      </rPr>
      <t xml:space="preserve">「近さ」は</t>
    </r>
    <r>
      <rPr>
        <sz val="9"/>
        <color rgb="FF111C29"/>
        <rFont val="Linux Libertine G"/>
        <family val="2"/>
        <charset val="1"/>
      </rPr>
      <t xml:space="preserve">Google</t>
    </r>
    <r>
      <rPr>
        <sz val="9"/>
        <color rgb="FF111C29"/>
        <rFont val="Linux Libertine G"/>
        <family val="2"/>
      </rPr>
      <t xml:space="preserve">が公表しているマップの順位の</t>
    </r>
    <r>
      <rPr>
        <sz val="9"/>
        <color rgb="FF111C29"/>
        <rFont val="Linux Libertine G"/>
        <family val="2"/>
        <charset val="1"/>
      </rPr>
      <t xml:space="preserve">3</t>
    </r>
    <r>
      <rPr>
        <sz val="9"/>
        <color rgb="FF111C29"/>
        <rFont val="Linux Libertine G"/>
        <family val="2"/>
      </rPr>
      <t xml:space="preserve">要因のひとつです。</t>
    </r>
  </si>
  <si>
    <t xml:space="preserve">写真は明るく、実物を撮ります</t>
  </si>
  <si>
    <r>
      <rPr>
        <sz val="9"/>
        <color rgb="FF111C29"/>
        <rFont val="Linux Libertine G"/>
        <family val="2"/>
      </rPr>
      <t xml:space="preserve">飲食店のサイトを見て来店をやめた理由の</t>
    </r>
    <r>
      <rPr>
        <sz val="9"/>
        <color rgb="FF111C29"/>
        <rFont val="Linux Libertine G"/>
        <family val="2"/>
        <charset val="1"/>
      </rPr>
      <t xml:space="preserve">36%</t>
    </r>
    <r>
      <rPr>
        <sz val="9"/>
        <color rgb="FF111C29"/>
        <rFont val="Linux Libertine G"/>
        <family val="2"/>
      </rPr>
      <t xml:space="preserve">が「料理写真が良くない」。写真が選択に影響すると答えた人は</t>
    </r>
    <r>
      <rPr>
        <sz val="9"/>
        <color rgb="FF111C29"/>
        <rFont val="Linux Libertine G"/>
        <family val="2"/>
        <charset val="1"/>
      </rPr>
      <t xml:space="preserve">87%</t>
    </r>
    <r>
      <rPr>
        <sz val="9"/>
        <color rgb="FF111C29"/>
        <rFont val="Linux Libertine G"/>
        <family val="2"/>
      </rPr>
      <t xml:space="preserve">です。</t>
    </r>
  </si>
  <si>
    <t xml:space="preserve">スタッフ・代表の顔写真と人柄が伝わる紹介を入れます</t>
  </si>
  <si>
    <r>
      <rPr>
        <sz val="9"/>
        <color rgb="FF111C29"/>
        <rFont val="Linux Libertine G"/>
        <family val="2"/>
      </rPr>
      <t xml:space="preserve">税理士を選ぶときに最も重視された項目の</t>
    </r>
    <r>
      <rPr>
        <sz val="9"/>
        <color rgb="FF111C29"/>
        <rFont val="Linux Libertine G"/>
        <family val="2"/>
        <charset val="1"/>
      </rPr>
      <t xml:space="preserve">1</t>
    </r>
    <r>
      <rPr>
        <sz val="9"/>
        <color rgb="FF111C29"/>
        <rFont val="Linux Libertine G"/>
        <family val="2"/>
      </rPr>
      <t xml:space="preserve">位は「相談しやすさ・人柄・相性」（</t>
    </r>
    <r>
      <rPr>
        <sz val="9"/>
        <color rgb="FF111C29"/>
        <rFont val="Linux Libertine G"/>
        <family val="2"/>
        <charset val="1"/>
      </rPr>
      <t xml:space="preserve">21%</t>
    </r>
    <r>
      <rPr>
        <sz val="9"/>
        <color rgb="FF111C29"/>
        <rFont val="Linux Libertine G"/>
        <family val="2"/>
      </rPr>
      <t xml:space="preserve">）でした。</t>
    </r>
  </si>
  <si>
    <r>
      <rPr>
        <b val="true"/>
        <sz val="9.5"/>
        <color rgb="FF111C29"/>
        <rFont val="Linux Libertine G"/>
        <family val="2"/>
      </rPr>
      <t xml:space="preserve">実績・事例は一覧と詳細の</t>
    </r>
    <r>
      <rPr>
        <b val="true"/>
        <sz val="9.5"/>
        <color rgb="FF111C29"/>
        <rFont val="Linux Libertine G"/>
        <family val="2"/>
        <charset val="1"/>
      </rPr>
      <t xml:space="preserve">2</t>
    </r>
    <r>
      <rPr>
        <b val="true"/>
        <sz val="9.5"/>
        <color rgb="FF111C29"/>
        <rFont val="Linux Libertine G"/>
        <family val="2"/>
      </rPr>
      <t xml:space="preserve">段にします（工務店は最優先）</t>
    </r>
  </si>
  <si>
    <r>
      <rPr>
        <sz val="9"/>
        <color rgb="FF111C29"/>
        <rFont val="Linux Libertine G"/>
        <family val="2"/>
      </rPr>
      <t xml:space="preserve">注文住宅の購入者調査では、施工事例が「参考になった」</t>
    </r>
    <r>
      <rPr>
        <sz val="9"/>
        <color rgb="FF111C29"/>
        <rFont val="Linux Libertine G"/>
        <family val="2"/>
        <charset val="1"/>
      </rPr>
      <t xml:space="preserve">58%</t>
    </r>
    <r>
      <rPr>
        <sz val="9"/>
        <color rgb="FF111C29"/>
        <rFont val="Linux Libertine G"/>
        <family val="2"/>
      </rPr>
      <t xml:space="preserve">・「決め手になった」</t>
    </r>
    <r>
      <rPr>
        <sz val="9"/>
        <color rgb="FF111C29"/>
        <rFont val="Linux Libertine G"/>
        <family val="2"/>
        <charset val="1"/>
      </rPr>
      <t xml:space="preserve">57%</t>
    </r>
    <r>
      <rPr>
        <sz val="9"/>
        <color rgb="FF111C29"/>
        <rFont val="Linux Libertine G"/>
        <family val="2"/>
      </rPr>
      <t xml:space="preserve">で両方</t>
    </r>
    <r>
      <rPr>
        <sz val="9"/>
        <color rgb="FF111C29"/>
        <rFont val="Linux Libertine G"/>
        <family val="2"/>
        <charset val="1"/>
      </rPr>
      <t xml:space="preserve">1</t>
    </r>
    <r>
      <rPr>
        <sz val="9"/>
        <color rgb="FF111C29"/>
        <rFont val="Linux Libertine G"/>
        <family val="2"/>
      </rPr>
      <t xml:space="preserve">位。一方、会社紹介は参考</t>
    </r>
    <r>
      <rPr>
        <sz val="9"/>
        <color rgb="FF111C29"/>
        <rFont val="Linux Libertine G"/>
        <family val="2"/>
        <charset val="1"/>
      </rPr>
      <t xml:space="preserve">58%→</t>
    </r>
    <r>
      <rPr>
        <sz val="9"/>
        <color rgb="FF111C29"/>
        <rFont val="Linux Libertine G"/>
        <family val="2"/>
      </rPr>
      <t xml:space="preserve">決め手</t>
    </r>
    <r>
      <rPr>
        <sz val="9"/>
        <color rgb="FF111C29"/>
        <rFont val="Linux Libertine G"/>
        <family val="2"/>
        <charset val="1"/>
      </rPr>
      <t xml:space="preserve">11%</t>
    </r>
    <r>
      <rPr>
        <sz val="9"/>
        <color rgb="FF111C29"/>
        <rFont val="Linux Libertine G"/>
        <family val="2"/>
      </rPr>
      <t xml:space="preserve">に落ちるので、そこには工数を割きません。</t>
    </r>
  </si>
  <si>
    <t xml:space="preserve">お客様の声には、依頼した旨を明記します</t>
  </si>
  <si>
    <r>
      <rPr>
        <sz val="9"/>
        <color rgb="FF111C29"/>
        <rFont val="Linux Libertine G"/>
        <family val="2"/>
      </rPr>
      <t xml:space="preserve">謝礼や依頼があるものは、事業者の表示だと分かるように書くことが景品表示法で必要です（</t>
    </r>
    <r>
      <rPr>
        <sz val="9"/>
        <color rgb="FF111C29"/>
        <rFont val="Linux Libertine G"/>
        <family val="2"/>
        <charset val="1"/>
      </rPr>
      <t xml:space="preserve">2023</t>
    </r>
    <r>
      <rPr>
        <sz val="9"/>
        <color rgb="FF111C29"/>
        <rFont val="Linux Libertine G"/>
        <family val="2"/>
      </rPr>
      <t xml:space="preserve">年</t>
    </r>
    <r>
      <rPr>
        <sz val="9"/>
        <color rgb="FF111C29"/>
        <rFont val="Linux Libertine G"/>
        <family val="2"/>
        <charset val="1"/>
      </rPr>
      <t xml:space="preserve">10</t>
    </r>
    <r>
      <rPr>
        <sz val="9"/>
        <color rgb="FF111C29"/>
        <rFont val="Linux Libertine G"/>
        <family val="2"/>
      </rPr>
      <t xml:space="preserve">月施行）。守らない制作会社が多いので、テンプレートに入れています。</t>
    </r>
  </si>
  <si>
    <r>
      <rPr>
        <b val="true"/>
        <sz val="9.5"/>
        <color rgb="FF111C29"/>
        <rFont val="Linux Libertine G"/>
        <family val="2"/>
      </rPr>
      <t xml:space="preserve">料金・費用・選び方の解説を</t>
    </r>
    <r>
      <rPr>
        <b val="true"/>
        <sz val="9.5"/>
        <color rgb="FF111C29"/>
        <rFont val="Linux Libertine G"/>
        <family val="2"/>
        <charset val="1"/>
      </rPr>
      <t xml:space="preserve">3</t>
    </r>
    <r>
      <rPr>
        <b val="true"/>
        <sz val="9.5"/>
        <color rgb="FF111C29"/>
        <rFont val="Linux Libertine G"/>
        <family val="2"/>
      </rPr>
      <t xml:space="preserve">〜</t>
    </r>
    <r>
      <rPr>
        <b val="true"/>
        <sz val="9.5"/>
        <color rgb="FF111C29"/>
        <rFont val="Linux Libertine G"/>
        <family val="2"/>
        <charset val="1"/>
      </rPr>
      <t xml:space="preserve">5</t>
    </r>
    <r>
      <rPr>
        <b val="true"/>
        <sz val="9.5"/>
        <color rgb="FF111C29"/>
        <rFont val="Linux Libertine G"/>
        <family val="2"/>
      </rPr>
      <t xml:space="preserve">本だけ書きます</t>
    </r>
  </si>
  <si>
    <r>
      <rPr>
        <sz val="9"/>
        <color rgb="FF111C29"/>
        <rFont val="Linux Libertine G"/>
        <family val="2"/>
      </rPr>
      <t xml:space="preserve">料金についての検索では、</t>
    </r>
    <r>
      <rPr>
        <sz val="9"/>
        <color rgb="FF111C29"/>
        <rFont val="Linux Libertine G"/>
        <family val="2"/>
        <charset val="1"/>
      </rPr>
      <t xml:space="preserve">8</t>
    </r>
    <r>
      <rPr>
        <sz val="9"/>
        <color rgb="FF111C29"/>
        <rFont val="Linux Libertine G"/>
        <family val="2"/>
      </rPr>
      <t xml:space="preserve">割以上で</t>
    </r>
    <r>
      <rPr>
        <sz val="9"/>
        <color rgb="FF111C29"/>
        <rFont val="Linux Libertine G"/>
        <family val="2"/>
        <charset val="1"/>
      </rPr>
      <t xml:space="preserve">AI</t>
    </r>
    <r>
      <rPr>
        <sz val="9"/>
        <color rgb="FF111C29"/>
        <rFont val="Linux Libertine G"/>
        <family val="2"/>
      </rPr>
      <t xml:space="preserve">の回答が表示されます。ここが</t>
    </r>
    <r>
      <rPr>
        <sz val="9"/>
        <color rgb="FF111C29"/>
        <rFont val="Linux Libertine G"/>
        <family val="2"/>
        <charset val="1"/>
      </rPr>
      <t xml:space="preserve">AI</t>
    </r>
    <r>
      <rPr>
        <sz val="9"/>
        <color rgb="FF111C29"/>
        <rFont val="Linux Libertine G"/>
        <family val="2"/>
      </rPr>
      <t xml:space="preserve">に引用される入口です。ただし記事の量産はしません。ページ数と引用されやすさの相関はほぼゼロでした。</t>
    </r>
  </si>
  <si>
    <t xml:space="preserve">技術</t>
  </si>
  <si>
    <t xml:space="preserve">スマホとパソコンで同じ内容にします。スマホ用に内容を削りません</t>
  </si>
  <si>
    <r>
      <rPr>
        <sz val="9"/>
        <color rgb="FF111C29"/>
        <rFont val="游ゴシック"/>
        <family val="0"/>
        <charset val="1"/>
      </rPr>
      <t xml:space="preserve">Google</t>
    </r>
    <r>
      <rPr>
        <sz val="9"/>
        <color rgb="FF111C29"/>
        <rFont val="Linux Libertine G"/>
        <family val="2"/>
      </rPr>
      <t xml:space="preserve">が「モバイルのコンテンツを減らすと流入の減少を想定すべき」と明記しています。</t>
    </r>
  </si>
  <si>
    <r>
      <rPr>
        <b val="true"/>
        <sz val="9.5"/>
        <color rgb="FF111C29"/>
        <rFont val="Linux Libertine G"/>
        <family val="2"/>
      </rPr>
      <t xml:space="preserve">表示速度は</t>
    </r>
    <r>
      <rPr>
        <b val="true"/>
        <sz val="9.5"/>
        <color rgb="FF111C29"/>
        <rFont val="Linux Libertine G"/>
        <family val="2"/>
        <charset val="1"/>
      </rPr>
      <t xml:space="preserve">2.5</t>
    </r>
    <r>
      <rPr>
        <b val="true"/>
        <sz val="9.5"/>
        <color rgb="FF111C29"/>
        <rFont val="Linux Libertine G"/>
        <family val="2"/>
      </rPr>
      <t xml:space="preserve">秒以内を納品条件にします</t>
    </r>
  </si>
  <si>
    <r>
      <rPr>
        <sz val="9"/>
        <color rgb="FF111C29"/>
        <rFont val="Linux Libertine G"/>
        <family val="2"/>
      </rPr>
      <t xml:space="preserve">スマホでこの基準を満たしているサイトは</t>
    </r>
    <r>
      <rPr>
        <sz val="9"/>
        <color rgb="FF111C29"/>
        <rFont val="Linux Libertine G"/>
        <family val="2"/>
        <charset val="1"/>
      </rPr>
      <t xml:space="preserve">62%</t>
    </r>
    <r>
      <rPr>
        <sz val="9"/>
        <color rgb="FF111C29"/>
        <rFont val="Linux Libertine G"/>
        <family val="2"/>
      </rPr>
      <t xml:space="preserve">しかなく、最大のつまずきどころです。写真が主役のお店のサイトは、構造的にここで遅くなります。</t>
    </r>
    <r>
      <rPr>
        <sz val="9"/>
        <color rgb="FF111C29"/>
        <rFont val="Linux Libertine G"/>
        <family val="2"/>
        <charset val="1"/>
      </rPr>
      <t xml:space="preserve">0.1</t>
    </r>
    <r>
      <rPr>
        <sz val="9"/>
        <color rgb="FF111C29"/>
        <rFont val="Linux Libertine G"/>
        <family val="2"/>
      </rPr>
      <t xml:space="preserve">秒の改善で問い合わせページへの遷移が</t>
    </r>
    <r>
      <rPr>
        <sz val="9"/>
        <color rgb="FF111C29"/>
        <rFont val="Linux Libertine G"/>
        <family val="2"/>
        <charset val="1"/>
      </rPr>
      <t xml:space="preserve">21.6%</t>
    </r>
    <r>
      <rPr>
        <sz val="9"/>
        <color rgb="FF111C29"/>
        <rFont val="Linux Libertine G"/>
        <family val="2"/>
      </rPr>
      <t xml:space="preserve">増えたという実測があります。</t>
    </r>
  </si>
  <si>
    <t xml:space="preserve">最初に表示される画像は、遅延読み込みにしません</t>
  </si>
  <si>
    <t xml:space="preserve">よくある設定ミスです。全部の画像に遅延読み込みをかけると、いちばん最初に見える画像の表示が逆に遅くなります。</t>
  </si>
  <si>
    <t xml:space="preserve">表示速度スコアの満点は狙いません</t>
  </si>
  <si>
    <r>
      <rPr>
        <sz val="9"/>
        <color rgb="FF111C29"/>
        <rFont val="游ゴシック"/>
        <family val="0"/>
        <charset val="1"/>
      </rPr>
      <t xml:space="preserve">Google</t>
    </r>
    <r>
      <rPr>
        <sz val="9"/>
        <color rgb="FF111C29"/>
        <rFont val="Linux Libertine G"/>
        <family val="2"/>
      </rPr>
      <t xml:space="preserve">自身が「</t>
    </r>
    <r>
      <rPr>
        <sz val="9"/>
        <color rgb="FF111C29"/>
        <rFont val="游ゴシック"/>
        <family val="0"/>
        <charset val="1"/>
      </rPr>
      <t xml:space="preserve">SEO</t>
    </r>
    <r>
      <rPr>
        <sz val="9"/>
        <color rgb="FF111C29"/>
        <rFont val="Linux Libertine G"/>
        <family val="2"/>
      </rPr>
      <t xml:space="preserve">のために満点を狙うのは時間の使い方として最善ではない」と書いています。反応速度の指標はスマホでも</t>
    </r>
    <r>
      <rPr>
        <sz val="9"/>
        <color rgb="FF111C29"/>
        <rFont val="游ゴシック"/>
        <family val="0"/>
        <charset val="1"/>
      </rPr>
      <t xml:space="preserve">77%</t>
    </r>
    <r>
      <rPr>
        <sz val="9"/>
        <color rgb="FF111C29"/>
        <rFont val="Linux Libertine G"/>
        <family val="2"/>
      </rPr>
      <t xml:space="preserve">が基準を満たしており、お店のサイトでは実質的に問題になりません。監視だけします。</t>
    </r>
  </si>
  <si>
    <t xml:space="preserve">押せる部分は、指で押しやすい大きさにします</t>
  </si>
  <si>
    <r>
      <rPr>
        <sz val="9"/>
        <color rgb="FF111C29"/>
        <rFont val="Linux Libertine G"/>
        <family val="2"/>
      </rPr>
      <t xml:space="preserve">国際的な指針の最低ラインは</t>
    </r>
    <r>
      <rPr>
        <sz val="9"/>
        <color rgb="FF111C29"/>
        <rFont val="Linux Libertine G"/>
        <family val="2"/>
        <charset val="1"/>
      </rPr>
      <t xml:space="preserve">24</t>
    </r>
    <r>
      <rPr>
        <sz val="9"/>
        <color rgb="FF111C29"/>
        <rFont val="Linux Libertine G"/>
        <family val="2"/>
      </rPr>
      <t xml:space="preserve">ピクセル四方ですが、読み手が</t>
    </r>
    <r>
      <rPr>
        <sz val="9"/>
        <color rgb="FF111C29"/>
        <rFont val="Linux Libertine G"/>
        <family val="2"/>
        <charset val="1"/>
      </rPr>
      <t xml:space="preserve">50</t>
    </r>
    <r>
      <rPr>
        <sz val="9"/>
        <color rgb="FF111C29"/>
        <rFont val="Linux Libertine G"/>
        <family val="2"/>
      </rPr>
      <t xml:space="preserve">〜</t>
    </r>
    <r>
      <rPr>
        <sz val="9"/>
        <color rgb="FF111C29"/>
        <rFont val="Linux Libertine G"/>
        <family val="2"/>
        <charset val="1"/>
      </rPr>
      <t xml:space="preserve">60</t>
    </r>
    <r>
      <rPr>
        <sz val="9"/>
        <color rgb="FF111C29"/>
        <rFont val="Linux Libertine G"/>
        <family val="2"/>
      </rPr>
      <t xml:space="preserve">代の方であることを前提に</t>
    </r>
    <r>
      <rPr>
        <sz val="9"/>
        <color rgb="FF111C29"/>
        <rFont val="Linux Libertine G"/>
        <family val="2"/>
        <charset val="1"/>
      </rPr>
      <t xml:space="preserve">44</t>
    </r>
    <r>
      <rPr>
        <sz val="9"/>
        <color rgb="FF111C29"/>
        <rFont val="Linux Libertine G"/>
        <family val="2"/>
      </rPr>
      <t xml:space="preserve">ピクセル四方を基準にしています。</t>
    </r>
  </si>
  <si>
    <t xml:space="preserve">構造化データを、業種に合った種類で設定します</t>
  </si>
  <si>
    <r>
      <rPr>
        <sz val="9"/>
        <color rgb="FF111C29"/>
        <rFont val="游ゴシック"/>
        <family val="0"/>
        <charset val="1"/>
      </rPr>
      <t xml:space="preserve">Google</t>
    </r>
    <r>
      <rPr>
        <sz val="9"/>
        <color rgb="FF111C29"/>
        <rFont val="Linux Libertine G"/>
        <family val="2"/>
      </rPr>
      <t xml:space="preserve">に事業所の情報を正しく伝える設定です。実装の手間が小さいので無料で入れています。ただしこれを「</t>
    </r>
    <r>
      <rPr>
        <sz val="9"/>
        <color rgb="FF111C29"/>
        <rFont val="游ゴシック"/>
        <family val="0"/>
        <charset val="1"/>
      </rPr>
      <t xml:space="preserve">AI</t>
    </r>
    <r>
      <rPr>
        <sz val="9"/>
        <color rgb="FF111C29"/>
        <rFont val="Linux Libertine G"/>
        <family val="2"/>
      </rPr>
      <t xml:space="preserve">検索対策」として売ることはしません。</t>
    </r>
    <r>
      <rPr>
        <sz val="9"/>
        <color rgb="FF111C29"/>
        <rFont val="游ゴシック"/>
        <family val="0"/>
        <charset val="1"/>
      </rPr>
      <t xml:space="preserve">Google</t>
    </r>
    <r>
      <rPr>
        <sz val="9"/>
        <color rgb="FF111C29"/>
        <rFont val="Linux Libertine G"/>
        <family val="2"/>
      </rPr>
      <t xml:space="preserve">の公式ガイドが「生成</t>
    </r>
    <r>
      <rPr>
        <sz val="9"/>
        <color rgb="FF111C29"/>
        <rFont val="游ゴシック"/>
        <family val="0"/>
        <charset val="1"/>
      </rPr>
      <t xml:space="preserve">AI</t>
    </r>
    <r>
      <rPr>
        <sz val="9"/>
        <color rgb="FF111C29"/>
        <rFont val="Linux Libertine G"/>
        <family val="2"/>
      </rPr>
      <t xml:space="preserve">の検索に構造化データは不要」と明記しています。</t>
    </r>
  </si>
  <si>
    <t xml:space="preserve">運用</t>
  </si>
  <si>
    <r>
      <rPr>
        <b val="true"/>
        <sz val="9.5"/>
        <color rgb="FF111C29"/>
        <rFont val="游ゴシック"/>
        <family val="0"/>
        <charset val="1"/>
      </rPr>
      <t xml:space="preserve">Google</t>
    </r>
    <r>
      <rPr>
        <b val="true"/>
        <sz val="9.5"/>
        <color rgb="FF111C29"/>
        <rFont val="Linux Libertine G"/>
        <family val="2"/>
      </rPr>
      <t xml:space="preserve">ビジネスプロフィールのリンクを、正しく紐付けます</t>
    </r>
  </si>
  <si>
    <r>
      <rPr>
        <sz val="9"/>
        <color rgb="FF111C29"/>
        <rFont val="游ゴシック"/>
        <family val="0"/>
        <charset val="1"/>
      </rPr>
      <t xml:space="preserve">Google</t>
    </r>
    <r>
      <rPr>
        <sz val="9"/>
        <color rgb="FF111C29"/>
        <rFont val="Linux Libertine G"/>
        <family val="2"/>
      </rPr>
      <t xml:space="preserve">は</t>
    </r>
    <r>
      <rPr>
        <sz val="9"/>
        <color rgb="FF111C29"/>
        <rFont val="游ゴシック"/>
        <family val="0"/>
        <charset val="1"/>
      </rPr>
      <t xml:space="preserve">SNS</t>
    </r>
    <r>
      <rPr>
        <sz val="9"/>
        <color rgb="FF111C29"/>
        <rFont val="Linux Libertine G"/>
        <family val="2"/>
      </rPr>
      <t xml:space="preserve">・メッセージアプリ・短縮</t>
    </r>
    <r>
      <rPr>
        <sz val="9"/>
        <color rgb="FF111C29"/>
        <rFont val="游ゴシック"/>
        <family val="0"/>
        <charset val="1"/>
      </rPr>
      <t xml:space="preserve">URL</t>
    </r>
    <r>
      <rPr>
        <sz val="9"/>
        <color rgb="FF111C29"/>
        <rFont val="Linux Libertine G"/>
        <family val="2"/>
      </rPr>
      <t xml:space="preserve">をリンク先に使うことを禁止しており、店舗ごとの専用ページを求めています。これが「</t>
    </r>
    <r>
      <rPr>
        <sz val="9"/>
        <color rgb="FF111C29"/>
        <rFont val="游ゴシック"/>
        <family val="0"/>
        <charset val="1"/>
      </rPr>
      <t xml:space="preserve">Google</t>
    </r>
    <r>
      <rPr>
        <sz val="9"/>
        <color rgb="FF111C29"/>
        <rFont val="Linux Libertine G"/>
        <family val="2"/>
      </rPr>
      <t xml:space="preserve">マップや</t>
    </r>
    <r>
      <rPr>
        <sz val="9"/>
        <color rgb="FF111C29"/>
        <rFont val="游ゴシック"/>
        <family val="0"/>
        <charset val="1"/>
      </rPr>
      <t xml:space="preserve">Instagram</t>
    </r>
    <r>
      <rPr>
        <sz val="9"/>
        <color rgb="FF111C29"/>
        <rFont val="Linux Libertine G"/>
        <family val="2"/>
      </rPr>
      <t xml:space="preserve">だけでは足りない」ことのはっきりした根拠です。マップ経由の行動の</t>
    </r>
    <r>
      <rPr>
        <sz val="9"/>
        <color rgb="FF111C29"/>
        <rFont val="游ゴシック"/>
        <family val="0"/>
        <charset val="1"/>
      </rPr>
      <t xml:space="preserve">47%</t>
    </r>
    <r>
      <rPr>
        <sz val="9"/>
        <color rgb="FF111C29"/>
        <rFont val="Linux Libertine G"/>
        <family val="2"/>
      </rPr>
      <t xml:space="preserve">はウェブサイトへの訪問で、最も多い行動です。</t>
    </r>
  </si>
  <si>
    <r>
      <rPr>
        <b val="true"/>
        <sz val="9.5"/>
        <color rgb="FF111C29"/>
        <rFont val="Linux Libertine G"/>
        <family val="2"/>
      </rPr>
      <t xml:space="preserve">問い合わせの通知を</t>
    </r>
    <r>
      <rPr>
        <b val="true"/>
        <sz val="9.5"/>
        <color rgb="FF111C29"/>
        <rFont val="Linux Libertine G"/>
        <family val="2"/>
        <charset val="1"/>
      </rPr>
      <t xml:space="preserve">2</t>
    </r>
    <r>
      <rPr>
        <b val="true"/>
        <sz val="9.5"/>
        <color rgb="FF111C29"/>
        <rFont val="Linux Libertine G"/>
        <family val="2"/>
      </rPr>
      <t xml:space="preserve">系統にして、返答までの時間を書きます</t>
    </r>
  </si>
  <si>
    <r>
      <rPr>
        <sz val="9"/>
        <color rgb="FF111C29"/>
        <rFont val="Linux Libertine G"/>
        <family val="2"/>
      </rPr>
      <t xml:space="preserve">米国</t>
    </r>
    <r>
      <rPr>
        <sz val="9"/>
        <color rgb="FF111C29"/>
        <rFont val="Linux Libertine G"/>
        <family val="2"/>
        <charset val="1"/>
      </rPr>
      <t xml:space="preserve">2,241</t>
    </r>
    <r>
      <rPr>
        <sz val="9"/>
        <color rgb="FF111C29"/>
        <rFont val="Linux Libertine G"/>
        <family val="2"/>
      </rPr>
      <t xml:space="preserve">社を調べた研究では</t>
    </r>
    <r>
      <rPr>
        <sz val="9"/>
        <color rgb="FF111C29"/>
        <rFont val="Linux Libertine G"/>
        <family val="2"/>
        <charset val="1"/>
      </rPr>
      <t xml:space="preserve">23%</t>
    </r>
    <r>
      <rPr>
        <sz val="9"/>
        <color rgb="FF111C29"/>
        <rFont val="Linux Libertine G"/>
        <family val="2"/>
      </rPr>
      <t xml:space="preserve">が返答せず、平均</t>
    </r>
    <r>
      <rPr>
        <sz val="9"/>
        <color rgb="FF111C29"/>
        <rFont val="Linux Libertine G"/>
        <family val="2"/>
        <charset val="1"/>
      </rPr>
      <t xml:space="preserve">42</t>
    </r>
    <r>
      <rPr>
        <sz val="9"/>
        <color rgb="FF111C29"/>
        <rFont val="Linux Libertine G"/>
        <family val="2"/>
      </rPr>
      <t xml:space="preserve">時間かかっていました。</t>
    </r>
    <r>
      <rPr>
        <sz val="9"/>
        <color rgb="FF111C29"/>
        <rFont val="Linux Libertine G"/>
        <family val="2"/>
        <charset val="1"/>
      </rPr>
      <t xml:space="preserve">1</t>
    </r>
    <r>
      <rPr>
        <sz val="9"/>
        <color rgb="FF111C29"/>
        <rFont val="Linux Libertine G"/>
        <family val="2"/>
      </rPr>
      <t xml:space="preserve">時間以内に接触した企業は約</t>
    </r>
    <r>
      <rPr>
        <sz val="9"/>
        <color rgb="FF111C29"/>
        <rFont val="Linux Libertine G"/>
        <family val="2"/>
        <charset val="1"/>
      </rPr>
      <t xml:space="preserve">7</t>
    </r>
    <r>
      <rPr>
        <sz val="9"/>
        <color rgb="FF111C29"/>
        <rFont val="Linux Libertine G"/>
        <family val="2"/>
      </rPr>
      <t xml:space="preserve">倍、見込み客になりやすいという結果です。税理士を変えた理由の</t>
    </r>
    <r>
      <rPr>
        <sz val="9"/>
        <color rgb="FF111C29"/>
        <rFont val="Linux Libertine G"/>
        <family val="2"/>
        <charset val="1"/>
      </rPr>
      <t xml:space="preserve">1</t>
    </r>
    <r>
      <rPr>
        <sz val="9"/>
        <color rgb="FF111C29"/>
        <rFont val="Linux Libertine G"/>
        <family val="2"/>
      </rPr>
      <t xml:space="preserve">位も「レスポンスの遅さ」（</t>
    </r>
    <r>
      <rPr>
        <sz val="9"/>
        <color rgb="FF111C29"/>
        <rFont val="Linux Libertine G"/>
        <family val="2"/>
        <charset val="1"/>
      </rPr>
      <t xml:space="preserve">30%</t>
    </r>
    <r>
      <rPr>
        <sz val="9"/>
        <color rgb="FF111C29"/>
        <rFont val="Linux Libertine G"/>
        <family val="2"/>
      </rPr>
      <t xml:space="preserve">）でした。</t>
    </r>
  </si>
  <si>
    <t xml:space="preserve">納品後の運用は「口コミの鮮度を保つこと」に集約します</t>
  </si>
  <si>
    <r>
      <rPr>
        <sz val="9"/>
        <color rgb="FF111C29"/>
        <rFont val="游ゴシック"/>
        <family val="0"/>
        <charset val="1"/>
      </rPr>
      <t xml:space="preserve">74%</t>
    </r>
    <r>
      <rPr>
        <sz val="9"/>
        <color rgb="FF111C29"/>
        <rFont val="Linux Libertine G"/>
        <family val="2"/>
      </rPr>
      <t xml:space="preserve">が直近</t>
    </r>
    <r>
      <rPr>
        <sz val="9"/>
        <color rgb="FF111C29"/>
        <rFont val="游ゴシック"/>
        <family val="0"/>
        <charset val="1"/>
      </rPr>
      <t xml:space="preserve">3</t>
    </r>
    <r>
      <rPr>
        <sz val="9"/>
        <color rgb="FF111C29"/>
        <rFont val="Linux Libertine G"/>
        <family val="2"/>
      </rPr>
      <t xml:space="preserve">か月以内の口コミを重視し、</t>
    </r>
    <r>
      <rPr>
        <sz val="9"/>
        <color rgb="FF111C29"/>
        <rFont val="游ゴシック"/>
        <family val="0"/>
        <charset val="1"/>
      </rPr>
      <t xml:space="preserve">47%</t>
    </r>
    <r>
      <rPr>
        <sz val="9"/>
        <color rgb="FF111C29"/>
        <rFont val="Linux Libertine G"/>
        <family val="2"/>
      </rPr>
      <t xml:space="preserve">は口コミが</t>
    </r>
    <r>
      <rPr>
        <sz val="9"/>
        <color rgb="FF111C29"/>
        <rFont val="游ゴシック"/>
        <family val="0"/>
        <charset val="1"/>
      </rPr>
      <t xml:space="preserve">20</t>
    </r>
    <r>
      <rPr>
        <sz val="9"/>
        <color rgb="FF111C29"/>
        <rFont val="Linux Libertine G"/>
        <family val="2"/>
      </rPr>
      <t xml:space="preserve">件未満のお店を使わず、</t>
    </r>
    <r>
      <rPr>
        <sz val="9"/>
        <color rgb="FF111C29"/>
        <rFont val="游ゴシック"/>
        <family val="0"/>
        <charset val="1"/>
      </rPr>
      <t xml:space="preserve">42%</t>
    </r>
    <r>
      <rPr>
        <sz val="9"/>
        <color rgb="FF111C29"/>
        <rFont val="Linux Libertine G"/>
        <family val="2"/>
      </rPr>
      <t xml:space="preserve">は口コミに返信していないお店を避け、</t>
    </r>
    <r>
      <rPr>
        <sz val="9"/>
        <color rgb="FF111C29"/>
        <rFont val="游ゴシック"/>
        <family val="0"/>
        <charset val="1"/>
      </rPr>
      <t xml:space="preserve">50%</t>
    </r>
    <r>
      <rPr>
        <sz val="9"/>
        <color rgb="FF111C29"/>
        <rFont val="Linux Libertine G"/>
        <family val="2"/>
      </rPr>
      <t xml:space="preserve">は定型的な返信だと選ぶ確率が下がります。</t>
    </r>
  </si>
  <si>
    <t xml:space="preserve">区分の意味</t>
  </si>
  <si>
    <r>
      <rPr>
        <sz val="9.5"/>
        <color rgb="FF111C29"/>
        <rFont val="Linux Libertine G"/>
        <family val="2"/>
      </rPr>
      <t xml:space="preserve">調査で「連絡されない理由」の</t>
    </r>
    <r>
      <rPr>
        <sz val="9.5"/>
        <color rgb="FF111C29"/>
        <rFont val="Linux Libertine G"/>
        <family val="2"/>
        <charset val="1"/>
      </rPr>
      <t xml:space="preserve">1</t>
    </r>
    <r>
      <rPr>
        <sz val="9.5"/>
        <color rgb="FF111C29"/>
        <rFont val="Linux Libertine G"/>
        <family val="2"/>
      </rPr>
      <t xml:space="preserve">位と</t>
    </r>
    <r>
      <rPr>
        <sz val="9.5"/>
        <color rgb="FF111C29"/>
        <rFont val="Linux Libertine G"/>
        <family val="2"/>
        <charset val="1"/>
      </rPr>
      <t xml:space="preserve">2</t>
    </r>
    <r>
      <rPr>
        <sz val="9.5"/>
        <color rgb="FF111C29"/>
        <rFont val="Linux Libertine G"/>
        <family val="2"/>
      </rPr>
      <t xml:space="preserve">位だった項目です。</t>
    </r>
  </si>
  <si>
    <t xml:space="preserve">見た人が判断材料にしている中身です。</t>
  </si>
  <si>
    <t xml:space="preserve">数字で効果が確認できるものだけ。やらないことも決めています。</t>
  </si>
  <si>
    <t xml:space="preserve">作ったあとに効く部分です。</t>
  </si>
  <si>
    <t xml:space="preserve">売らないと決めているもの</t>
  </si>
  <si>
    <t xml:space="preserve">これらを売っている制作会社は実際にある。根拠がないものを売らないと決めた。同じ商品棚に並ばないことが、いちばんの違い。</t>
  </si>
  <si>
    <t xml:space="preserve">理由</t>
  </si>
  <si>
    <r>
      <rPr>
        <b val="true"/>
        <sz val="10"/>
        <color rgb="FFB0342C"/>
        <rFont val="游ゴシック"/>
        <family val="0"/>
        <charset val="1"/>
      </rPr>
      <t xml:space="preserve">llms.txt </t>
    </r>
    <r>
      <rPr>
        <b val="true"/>
        <sz val="10"/>
        <color rgb="FFB0342C"/>
        <rFont val="Linux Libertine G"/>
        <family val="2"/>
      </rPr>
      <t xml:space="preserve">の設置</t>
    </r>
  </si>
  <si>
    <r>
      <rPr>
        <sz val="9.5"/>
        <color rgb="FF111C29"/>
        <rFont val="游ゴシック"/>
        <family val="0"/>
        <charset val="1"/>
      </rPr>
      <t xml:space="preserve">Google</t>
    </r>
    <r>
      <rPr>
        <sz val="9.5"/>
        <color rgb="FF111C29"/>
        <rFont val="Linux Libertine G"/>
        <family val="2"/>
      </rPr>
      <t xml:space="preserve">が公式に「不要」と明記しています。</t>
    </r>
    <r>
      <rPr>
        <sz val="9.5"/>
        <color rgb="FF111C29"/>
        <rFont val="游ゴシック"/>
        <family val="0"/>
        <charset val="1"/>
      </rPr>
      <t xml:space="preserve">Google</t>
    </r>
    <r>
      <rPr>
        <sz val="9.5"/>
        <color rgb="FF111C29"/>
        <rFont val="Linux Libertine G"/>
        <family val="2"/>
      </rPr>
      <t xml:space="preserve">の担当者も「どの</t>
    </r>
    <r>
      <rPr>
        <sz val="9.5"/>
        <color rgb="FF111C29"/>
        <rFont val="游ゴシック"/>
        <family val="0"/>
        <charset val="1"/>
      </rPr>
      <t xml:space="preserve">AI</t>
    </r>
    <r>
      <rPr>
        <sz val="9.5"/>
        <color rgb="FF111C29"/>
        <rFont val="Linux Libertine G"/>
        <family val="2"/>
      </rPr>
      <t xml:space="preserve">システムも使っていない」と発言しています。</t>
    </r>
  </si>
  <si>
    <r>
      <rPr>
        <b val="true"/>
        <sz val="10"/>
        <color rgb="FFB0342C"/>
        <rFont val="游ゴシック"/>
        <family val="0"/>
        <charset val="1"/>
      </rPr>
      <t xml:space="preserve">AI</t>
    </r>
    <r>
      <rPr>
        <b val="true"/>
        <sz val="10"/>
        <color rgb="FFB0342C"/>
        <rFont val="Linux Libertine G"/>
        <family val="2"/>
      </rPr>
      <t xml:space="preserve">検索最適化（</t>
    </r>
    <r>
      <rPr>
        <b val="true"/>
        <sz val="10"/>
        <color rgb="FFB0342C"/>
        <rFont val="游ゴシック"/>
        <family val="0"/>
        <charset val="1"/>
      </rPr>
      <t xml:space="preserve">LLMO</t>
    </r>
    <r>
      <rPr>
        <b val="true"/>
        <sz val="10"/>
        <color rgb="FFB0342C"/>
        <rFont val="Linux Libertine G"/>
        <family val="2"/>
      </rPr>
      <t xml:space="preserve">）</t>
    </r>
  </si>
  <si>
    <r>
      <rPr>
        <sz val="9.5"/>
        <color rgb="FF111C29"/>
        <rFont val="游ゴシック"/>
        <family val="0"/>
        <charset val="1"/>
      </rPr>
      <t xml:space="preserve">Google</t>
    </r>
    <r>
      <rPr>
        <sz val="9.5"/>
        <color rgb="FF111C29"/>
        <rFont val="Linux Libertine G"/>
        <family val="2"/>
      </rPr>
      <t xml:space="preserve">の公式ガイドが、構造化データもコンテンツの分割も</t>
    </r>
    <r>
      <rPr>
        <sz val="9.5"/>
        <color rgb="FF111C29"/>
        <rFont val="游ゴシック"/>
        <family val="0"/>
        <charset val="1"/>
      </rPr>
      <t xml:space="preserve">AI</t>
    </r>
    <r>
      <rPr>
        <sz val="9.5"/>
        <color rgb="FF111C29"/>
        <rFont val="Linux Libertine G"/>
        <family val="2"/>
      </rPr>
      <t xml:space="preserve">向けの書き方も不要だと明言しています。</t>
    </r>
  </si>
  <si>
    <r>
      <rPr>
        <b val="true"/>
        <sz val="10"/>
        <color rgb="FFB0342C"/>
        <rFont val="游ゴシック"/>
        <family val="0"/>
        <charset val="1"/>
      </rPr>
      <t xml:space="preserve">FAQ</t>
    </r>
    <r>
      <rPr>
        <b val="true"/>
        <sz val="10"/>
        <color rgb="FFB0342C"/>
        <rFont val="Linux Libertine G"/>
        <family val="2"/>
      </rPr>
      <t xml:space="preserve">の構造化データ</t>
    </r>
  </si>
  <si>
    <r>
      <rPr>
        <sz val="9.5"/>
        <color rgb="FF111C29"/>
        <rFont val="游ゴシック"/>
        <family val="0"/>
        <charset val="1"/>
      </rPr>
      <t xml:space="preserve">2026</t>
    </r>
    <r>
      <rPr>
        <sz val="9.5"/>
        <color rgb="FF111C29"/>
        <rFont val="Linux Libertine G"/>
        <family val="2"/>
      </rPr>
      <t xml:space="preserve">年</t>
    </r>
    <r>
      <rPr>
        <sz val="9.5"/>
        <color rgb="FF111C29"/>
        <rFont val="游ゴシック"/>
        <family val="0"/>
        <charset val="1"/>
      </rPr>
      <t xml:space="preserve">5</t>
    </r>
    <r>
      <rPr>
        <sz val="9.5"/>
        <color rgb="FF111C29"/>
        <rFont val="Linux Libertine G"/>
        <family val="2"/>
      </rPr>
      <t xml:space="preserve">月</t>
    </r>
    <r>
      <rPr>
        <sz val="9.5"/>
        <color rgb="FF111C29"/>
        <rFont val="游ゴシック"/>
        <family val="0"/>
        <charset val="1"/>
      </rPr>
      <t xml:space="preserve">7</t>
    </r>
    <r>
      <rPr>
        <sz val="9.5"/>
        <color rgb="FF111C29"/>
        <rFont val="Linux Libertine G"/>
        <family val="2"/>
      </rPr>
      <t xml:space="preserve">日に、</t>
    </r>
    <r>
      <rPr>
        <sz val="9.5"/>
        <color rgb="FF111C29"/>
        <rFont val="游ゴシック"/>
        <family val="0"/>
        <charset val="1"/>
      </rPr>
      <t xml:space="preserve">Google</t>
    </r>
    <r>
      <rPr>
        <sz val="9.5"/>
        <color rgb="FF111C29"/>
        <rFont val="Linux Libertine G"/>
        <family val="2"/>
      </rPr>
      <t xml:space="preserve">検索での表示が終了しました。</t>
    </r>
  </si>
  <si>
    <r>
      <rPr>
        <b val="true"/>
        <sz val="10"/>
        <color rgb="FFB0342C"/>
        <rFont val="Linux Libertine G"/>
        <family val="2"/>
      </rPr>
      <t xml:space="preserve">表示速度スコア</t>
    </r>
    <r>
      <rPr>
        <b val="true"/>
        <sz val="10"/>
        <color rgb="FFB0342C"/>
        <rFont val="Linux Libertine G"/>
        <family val="2"/>
        <charset val="1"/>
      </rPr>
      <t xml:space="preserve">100</t>
    </r>
    <r>
      <rPr>
        <b val="true"/>
        <sz val="10"/>
        <color rgb="FFB0342C"/>
        <rFont val="Linux Libertine G"/>
        <family val="2"/>
      </rPr>
      <t xml:space="preserve">点</t>
    </r>
  </si>
  <si>
    <r>
      <rPr>
        <sz val="9.5"/>
        <color rgb="FF111C29"/>
        <rFont val="游ゴシック"/>
        <family val="0"/>
        <charset val="1"/>
      </rPr>
      <t xml:space="preserve">Google</t>
    </r>
    <r>
      <rPr>
        <sz val="9.5"/>
        <color rgb="FF111C29"/>
        <rFont val="Linux Libertine G"/>
        <family val="2"/>
      </rPr>
      <t xml:space="preserve">自身が「</t>
    </r>
    <r>
      <rPr>
        <sz val="9.5"/>
        <color rgb="FF111C29"/>
        <rFont val="游ゴシック"/>
        <family val="0"/>
        <charset val="1"/>
      </rPr>
      <t xml:space="preserve">SEO</t>
    </r>
    <r>
      <rPr>
        <sz val="9.5"/>
        <color rgb="FF111C29"/>
        <rFont val="Linux Libertine G"/>
        <family val="2"/>
      </rPr>
      <t xml:space="preserve">のために満点を狙うのは時間の使い方として最善ではない」と書いています。</t>
    </r>
    <r>
      <rPr>
        <sz val="9.5"/>
        <color rgb="FF111C29"/>
        <rFont val="游ゴシック"/>
        <family val="0"/>
        <charset val="1"/>
      </rPr>
      <t xml:space="preserve">2.5</t>
    </r>
    <r>
      <rPr>
        <sz val="9.5"/>
        <color rgb="FF111C29"/>
        <rFont val="Linux Libertine G"/>
        <family val="2"/>
      </rPr>
      <t xml:space="preserve">秒以内を守れば十分です。</t>
    </r>
  </si>
  <si>
    <t xml:space="preserve">「アクセシビリティ義務化対応」</t>
  </si>
  <si>
    <r>
      <rPr>
        <sz val="9.5"/>
        <color rgb="FF111C29"/>
        <rFont val="游ゴシック"/>
        <family val="0"/>
        <charset val="1"/>
      </rPr>
      <t xml:space="preserve">2024</t>
    </r>
    <r>
      <rPr>
        <sz val="9.5"/>
        <color rgb="FF111C29"/>
        <rFont val="Linux Libertine G"/>
        <family val="2"/>
      </rPr>
      <t xml:space="preserve">年に義務化されたのは合理的配慮の提供で、ウェブアクセシビリティ自体は義務化されていません。</t>
    </r>
  </si>
  <si>
    <r>
      <rPr>
        <sz val="9"/>
        <color rgb="FF5A6B7B"/>
        <rFont val="Linux Libertine G"/>
        <family val="2"/>
      </rPr>
      <t xml:space="preserve">あわせて約束しないこと：検索順位（順位を保証する会社があれば疑ったほうがいい）／新規客が増えること（美容室の市場は前年比</t>
    </r>
    <r>
      <rPr>
        <sz val="9"/>
        <color rgb="FF5A6B7B"/>
        <rFont val="Linux Libertine G"/>
        <family val="2"/>
        <charset val="1"/>
      </rPr>
      <t xml:space="preserve">5.9%</t>
    </r>
    <r>
      <rPr>
        <sz val="9"/>
        <color rgb="FF5A6B7B"/>
        <rFont val="Linux Libertine G"/>
        <family val="2"/>
      </rPr>
      <t xml:space="preserve">縮小）／補助金の採択。確実にできるのは、手数料の削減と再来店の導線づくり。そこは数字で確認できる。</t>
    </r>
  </si>
  <si>
    <t xml:space="preserve">業種ごとに何を作るか</t>
  </si>
  <si>
    <r>
      <rPr>
        <sz val="9.5"/>
        <color rgb="FF5A6B7B"/>
        <rFont val="Linux Libertine G"/>
        <family val="2"/>
      </rPr>
      <t xml:space="preserve">値段は業種で変えない。変わるのは作るページの中身。中央値は</t>
    </r>
    <r>
      <rPr>
        <sz val="9.5"/>
        <color rgb="FF5A6B7B"/>
        <rFont val="Linux Libertine G"/>
        <family val="2"/>
        <charset val="1"/>
      </rPr>
      <t xml:space="preserve">846</t>
    </r>
    <r>
      <rPr>
        <sz val="9.5"/>
        <color rgb="FF5A6B7B"/>
        <rFont val="Linux Libertine G"/>
        <family val="2"/>
      </rPr>
      <t xml:space="preserve">件の実発注データより。</t>
    </r>
  </si>
  <si>
    <t xml:space="preserve">業種</t>
  </si>
  <si>
    <t xml:space="preserve">推奨プラン</t>
  </si>
  <si>
    <t xml:space="preserve">制作費の中央値</t>
  </si>
  <si>
    <t xml:space="preserve">必ず入れるもの</t>
  </si>
  <si>
    <t xml:space="preserve">作らないもの</t>
  </si>
  <si>
    <t xml:space="preserve">財源（いまの費用）</t>
  </si>
  <si>
    <t xml:space="preserve">飲食店</t>
  </si>
  <si>
    <r>
      <rPr>
        <sz val="9.5"/>
        <color rgb="FF111C29"/>
        <rFont val="Linux Libertine G"/>
        <family val="2"/>
      </rPr>
      <t xml:space="preserve">事業の土台をつくる（</t>
    </r>
    <r>
      <rPr>
        <sz val="9.5"/>
        <color rgb="FF111C29"/>
        <rFont val="Linux Libertine G"/>
        <family val="2"/>
        <charset val="1"/>
      </rPr>
      <t xml:space="preserve">6</t>
    </r>
    <r>
      <rPr>
        <sz val="9.5"/>
        <color rgb="FF111C29"/>
        <rFont val="Linux Libertine G"/>
        <family val="2"/>
      </rPr>
      <t xml:space="preserve">ページ）</t>
    </r>
  </si>
  <si>
    <r>
      <rPr>
        <sz val="10"/>
        <color rgb="FF5A6B7B"/>
        <rFont val="游ゴシック"/>
        <family val="0"/>
        <charset val="1"/>
      </rPr>
      <t xml:space="preserve">52.8</t>
    </r>
    <r>
      <rPr>
        <sz val="10"/>
        <color rgb="FF5A6B7B"/>
        <rFont val="Linux Libertine G"/>
        <family val="2"/>
      </rPr>
      <t xml:space="preserve">万円</t>
    </r>
  </si>
  <si>
    <r>
      <rPr>
        <sz val="9"/>
        <color rgb="FF111C29"/>
        <rFont val="Linux Libertine G"/>
        <family val="2"/>
      </rPr>
      <t xml:space="preserve">・メニューを文字で載せます（</t>
    </r>
    <r>
      <rPr>
        <sz val="9"/>
        <color rgb="FF111C29"/>
        <rFont val="Linux Libertine G"/>
        <family val="2"/>
        <charset val="1"/>
      </rPr>
      <t xml:space="preserve">PDF</t>
    </r>
    <r>
      <rPr>
        <sz val="9"/>
        <color rgb="FF111C29"/>
        <rFont val="Linux Libertine G"/>
        <family val="2"/>
      </rPr>
      <t xml:space="preserve">や画像にしません）
・支給の料理写真を配置します（撮影は別見積もり）
・地図・アクセス・駐車場
・電話と予約の両方を置きます
・営業時間（臨時休業・年末年始まで）</t>
    </r>
  </si>
  <si>
    <r>
      <rPr>
        <sz val="9"/>
        <color rgb="FFB0342C"/>
        <rFont val="Linux Libertine G"/>
        <family val="2"/>
      </rPr>
      <t xml:space="preserve">・</t>
    </r>
    <r>
      <rPr>
        <sz val="9"/>
        <color rgb="FFB0342C"/>
        <rFont val="Linux Libertine G"/>
        <family val="2"/>
        <charset val="1"/>
      </rPr>
      <t xml:space="preserve">Google</t>
    </r>
    <r>
      <rPr>
        <sz val="9"/>
        <color rgb="FFB0342C"/>
        <rFont val="Linux Libertine G"/>
        <family val="2"/>
      </rPr>
      <t xml:space="preserve">の飲食店カルーセルを狙う設定</t>
    </r>
  </si>
  <si>
    <r>
      <rPr>
        <sz val="9"/>
        <color rgb="FF5A6B7B"/>
        <rFont val="Linux Libertine G"/>
        <family val="2"/>
      </rPr>
      <t xml:space="preserve">食べログのベーシックプラン（税込</t>
    </r>
    <r>
      <rPr>
        <sz val="9"/>
        <color rgb="FF5A6B7B"/>
        <rFont val="Linux Libertine G"/>
        <family val="2"/>
        <charset val="1"/>
      </rPr>
      <t xml:space="preserve">27,500</t>
    </r>
    <r>
      <rPr>
        <sz val="9"/>
        <color rgb="FF5A6B7B"/>
        <rFont val="Linux Libertine G"/>
        <family val="2"/>
      </rPr>
      <t xml:space="preserve">円）を無料プランに戻しても、ネット予約は固定費</t>
    </r>
    <r>
      <rPr>
        <sz val="9"/>
        <color rgb="FF5A6B7B"/>
        <rFont val="Linux Libertine G"/>
        <family val="2"/>
        <charset val="1"/>
      </rPr>
      <t xml:space="preserve">0</t>
    </r>
    <r>
      <rPr>
        <sz val="9"/>
        <color rgb="FF5A6B7B"/>
        <rFont val="Linux Libertine G"/>
        <family val="2"/>
      </rPr>
      <t xml:space="preserve">円で使えます。常連さんの予約</t>
    </r>
    <r>
      <rPr>
        <sz val="9"/>
        <color rgb="FF5A6B7B"/>
        <rFont val="Linux Libertine G"/>
        <family val="2"/>
        <charset val="1"/>
      </rPr>
      <t xml:space="preserve">1</t>
    </r>
    <r>
      <rPr>
        <sz val="9"/>
        <color rgb="FF5A6B7B"/>
        <rFont val="Linux Libertine G"/>
        <family val="2"/>
      </rPr>
      <t xml:space="preserve">件ごとに</t>
    </r>
    <r>
      <rPr>
        <sz val="9"/>
        <color rgb="FF5A6B7B"/>
        <rFont val="Linux Libertine G"/>
        <family val="2"/>
        <charset val="1"/>
      </rPr>
      <t xml:space="preserve">220</t>
    </r>
    <r>
      <rPr>
        <sz val="9"/>
        <color rgb="FF5A6B7B"/>
        <rFont val="Linux Libertine G"/>
        <family val="2"/>
      </rPr>
      <t xml:space="preserve">円かかる構造から抜けます。</t>
    </r>
  </si>
  <si>
    <t xml:space="preserve">工務店・建設</t>
  </si>
  <si>
    <r>
      <rPr>
        <sz val="9.5"/>
        <color rgb="FF111C29"/>
        <rFont val="Linux Libertine G"/>
        <family val="2"/>
      </rPr>
      <t xml:space="preserve">情報を育てる（</t>
    </r>
    <r>
      <rPr>
        <sz val="9.5"/>
        <color rgb="FF111C29"/>
        <rFont val="Linux Libertine G"/>
        <family val="2"/>
        <charset val="1"/>
      </rPr>
      <t xml:space="preserve">9</t>
    </r>
    <r>
      <rPr>
        <sz val="9.5"/>
        <color rgb="FF111C29"/>
        <rFont val="Linux Libertine G"/>
        <family val="2"/>
      </rPr>
      <t xml:space="preserve">ページ・受付準備中）</t>
    </r>
  </si>
  <si>
    <r>
      <rPr>
        <sz val="10"/>
        <color rgb="FF5A6B7B"/>
        <rFont val="游ゴシック"/>
        <family val="0"/>
        <charset val="1"/>
      </rPr>
      <t xml:space="preserve">63.4</t>
    </r>
    <r>
      <rPr>
        <sz val="10"/>
        <color rgb="FF5A6B7B"/>
        <rFont val="Linux Libertine G"/>
        <family val="2"/>
      </rPr>
      <t xml:space="preserve">万円</t>
    </r>
  </si>
  <si>
    <t xml:space="preserve">・施工事例を、増やしていける形で作ります
・性能・構造の説明
・お客様の声（依頼した旨を明記して）
・対応エリアを市町村ごとに
・問い合わせフォームを主役にします</t>
  </si>
  <si>
    <t xml:space="preserve">・会社紹介の作り込み
・「建設業許可番号の掲載は法律で必要」という説明</t>
  </si>
  <si>
    <t xml:space="preserve">この業種はポータルサイトより広告費の見直しが効きます。商圏の外への配信、成約ゼロの検索語、指名検索への過剰な出稿を整理します。</t>
  </si>
  <si>
    <t xml:space="preserve">美容室・サロン</t>
  </si>
  <si>
    <r>
      <rPr>
        <sz val="10"/>
        <color rgb="FF5A6B7B"/>
        <rFont val="游ゴシック"/>
        <family val="0"/>
        <charset val="1"/>
      </rPr>
      <t xml:space="preserve">54.8</t>
    </r>
    <r>
      <rPr>
        <sz val="10"/>
        <color rgb="FF5A6B7B"/>
        <rFont val="Linux Libertine G"/>
        <family val="2"/>
      </rPr>
      <t xml:space="preserve">万円</t>
    </r>
  </si>
  <si>
    <r>
      <rPr>
        <sz val="9"/>
        <color rgb="FF111C29"/>
        <rFont val="Linux Libertine G"/>
        <family val="2"/>
      </rPr>
      <t xml:space="preserve">・全メニューの料金表（税込・追加料金の条件まで）
・予約ボタンを最優先で置きます
・スタイリストの紹介（顔・得意なこと・指名のしかた）
・スタイルの写真
・電話も残します（</t>
    </r>
    <r>
      <rPr>
        <sz val="9"/>
        <color rgb="FF111C29"/>
        <rFont val="Linux Libertine G"/>
        <family val="2"/>
        <charset val="1"/>
      </rPr>
      <t xml:space="preserve">50</t>
    </r>
    <r>
      <rPr>
        <sz val="9"/>
        <color rgb="FF111C29"/>
        <rFont val="Linux Libertine G"/>
        <family val="2"/>
      </rPr>
      <t xml:space="preserve">代以上のお客様向け）</t>
    </r>
  </si>
  <si>
    <t xml:space="preserve">・新規のお客様が増えるという約束</t>
  </si>
  <si>
    <r>
      <rPr>
        <sz val="9"/>
        <color rgb="FF5A6B7B"/>
        <rFont val="Linux Libertine G"/>
        <family val="2"/>
      </rPr>
      <t xml:space="preserve">ホットペッパービューティーの掲載料は公開されていないので、まず直近の請求書を見せてください。無料プランが存在せず、予約売上の</t>
    </r>
    <r>
      <rPr>
        <sz val="9"/>
        <color rgb="FF5A6B7B"/>
        <rFont val="Linux Libertine G"/>
        <family val="2"/>
        <charset val="1"/>
      </rPr>
      <t xml:space="preserve">2%</t>
    </r>
    <r>
      <rPr>
        <sz val="9"/>
        <color rgb="FF5A6B7B"/>
        <rFont val="Linux Libertine G"/>
        <family val="2"/>
      </rPr>
      <t xml:space="preserve">が手数料としてかかります。</t>
    </r>
  </si>
  <si>
    <t xml:space="preserve">士業・専門事務所</t>
  </si>
  <si>
    <r>
      <rPr>
        <sz val="10"/>
        <color rgb="FF5A6B7B"/>
        <rFont val="游ゴシック"/>
        <family val="0"/>
        <charset val="1"/>
      </rPr>
      <t xml:space="preserve">40.0</t>
    </r>
    <r>
      <rPr>
        <sz val="10"/>
        <color rgb="FF5A6B7B"/>
        <rFont val="Linux Libertine G"/>
        <family val="2"/>
      </rPr>
      <t xml:space="preserve">万円</t>
    </r>
  </si>
  <si>
    <t xml:space="preserve">・料金の体系を明示します（範囲・別途費用まで）
・代表・担当者の顔写真と経歴、人柄が伝わる紹介
・取扱分野を具体的に分けて書きます
・電話を最上部に固定します
・返答までの時間を書きます</t>
  </si>
  <si>
    <t xml:space="preserve">・弁護士の方の広告表現</t>
  </si>
  <si>
    <r>
      <rPr>
        <sz val="9"/>
        <color rgb="FF5A6B7B"/>
        <rFont val="Linux Libertine G"/>
        <family val="2"/>
      </rPr>
      <t xml:space="preserve">この業種は広告の獲得単価が高く（</t>
    </r>
    <r>
      <rPr>
        <sz val="9"/>
        <color rgb="FF5A6B7B"/>
        <rFont val="Linux Libertine G"/>
        <family val="2"/>
        <charset val="1"/>
      </rPr>
      <t xml:space="preserve">3</t>
    </r>
    <r>
      <rPr>
        <sz val="9"/>
        <color rgb="FF5A6B7B"/>
        <rFont val="Linux Libertine G"/>
        <family val="2"/>
      </rPr>
      <t xml:space="preserve">万〜</t>
    </r>
    <r>
      <rPr>
        <sz val="9"/>
        <color rgb="FF5A6B7B"/>
        <rFont val="Linux Libertine G"/>
        <family val="2"/>
        <charset val="1"/>
      </rPr>
      <t xml:space="preserve">5</t>
    </r>
    <r>
      <rPr>
        <sz val="9"/>
        <color rgb="FF5A6B7B"/>
        <rFont val="Linux Libertine G"/>
        <family val="2"/>
      </rPr>
      <t xml:space="preserve">万円という目安があります）、整理の余地が大きいです。商圏外への配信と、成約ゼロの検索語から見ます。</t>
    </r>
  </si>
  <si>
    <t xml:space="preserve">どの業種でも、作ったものはお客様のもの。ドメインは初日からお客様の名義で取り、ソースコードも撮影した写真の元データも渡す。やめても残る。</t>
  </si>
  <si>
    <r>
      <rPr>
        <b val="true"/>
        <sz val="15"/>
        <color rgb="FF1F3049"/>
        <rFont val="Linux Libertine G"/>
        <family val="2"/>
      </rPr>
      <t xml:space="preserve">サイトの構成（</t>
    </r>
    <r>
      <rPr>
        <b val="true"/>
        <sz val="15"/>
        <color rgb="FF1F3049"/>
        <rFont val="Linux Libertine G"/>
        <family val="2"/>
        <charset val="1"/>
      </rPr>
      <t xml:space="preserve">21</t>
    </r>
    <r>
      <rPr>
        <b val="true"/>
        <sz val="15"/>
        <color rgb="FF1F3049"/>
        <rFont val="Linux Libertine G"/>
        <family val="2"/>
      </rPr>
      <t xml:space="preserve">ページ）</t>
    </r>
  </si>
  <si>
    <r>
      <rPr>
        <sz val="9.5"/>
        <color rgb="FF5A6B7B"/>
        <rFont val="Linux Libertine G"/>
        <family val="2"/>
      </rPr>
      <t xml:space="preserve">ヘッダーに入るのは</t>
    </r>
    <r>
      <rPr>
        <sz val="9.5"/>
        <color rgb="FF5A6B7B"/>
        <rFont val="Linux Libertine G"/>
        <family val="2"/>
        <charset val="1"/>
      </rPr>
      <t xml:space="preserve">4</t>
    </r>
    <r>
      <rPr>
        <sz val="9.5"/>
        <color rgb="FF5A6B7B"/>
        <rFont val="Linux Libertine G"/>
        <family val="2"/>
      </rPr>
      <t xml:space="preserve">本だけ。先頭は一番の主張に使う。</t>
    </r>
  </si>
  <si>
    <t xml:space="preserve">ファイル</t>
  </si>
  <si>
    <t xml:space="preserve">見出し</t>
  </si>
  <si>
    <t xml:space="preserve">役割</t>
  </si>
  <si>
    <t xml:space="preserve">index.html</t>
  </si>
  <si>
    <t xml:space="preserve">ホーム</t>
  </si>
  <si>
    <t xml:space="preserve">トップ。主張→地代の比較→料金→総額→補助金→業種→正直に、の順</t>
  </si>
  <si>
    <t xml:space="preserve">owned.html</t>
  </si>
  <si>
    <t xml:space="preserve">借地と所有</t>
  </si>
  <si>
    <t xml:space="preserve">一番の主張。借地と所有。他のページはここを支える材料</t>
  </si>
  <si>
    <t xml:space="preserve">price.html</t>
  </si>
  <si>
    <t xml:space="preserve">料金</t>
  </si>
  <si>
    <r>
      <rPr>
        <sz val="9"/>
        <color rgb="FF5A6B7B"/>
        <rFont val="Linux Libertine G"/>
        <family val="2"/>
      </rPr>
      <t xml:space="preserve">料金の全部。料金と作業枠は</t>
    </r>
    <r>
      <rPr>
        <sz val="9"/>
        <color rgb="FF5A6B7B"/>
        <rFont val="Linux Libertine G"/>
        <family val="2"/>
        <charset val="1"/>
      </rPr>
      <t xml:space="preserve">2026-09-14</t>
    </r>
    <r>
      <rPr>
        <sz val="9"/>
        <color rgb="FF5A6B7B"/>
        <rFont val="Linux Libertine G"/>
        <family val="2"/>
      </rPr>
      <t xml:space="preserve">改定。着手</t>
    </r>
    <r>
      <rPr>
        <sz val="9"/>
        <color rgb="FF5A6B7B"/>
        <rFont val="Linux Libertine G"/>
        <family val="2"/>
        <charset val="1"/>
      </rPr>
      <t xml:space="preserve">50%</t>
    </r>
    <r>
      <rPr>
        <sz val="9"/>
        <color rgb="FF5A6B7B"/>
        <rFont val="Linux Libertine G"/>
        <family val="2"/>
      </rPr>
      <t xml:space="preserve">・検収</t>
    </r>
    <r>
      <rPr>
        <sz val="9"/>
        <color rgb="FF5A6B7B"/>
        <rFont val="Linux Libertine G"/>
        <family val="2"/>
        <charset val="1"/>
      </rPr>
      <t xml:space="preserve">50%</t>
    </r>
    <r>
      <rPr>
        <sz val="9"/>
        <color rgb="FF5A6B7B"/>
        <rFont val="Linux Libertine G"/>
        <family val="2"/>
      </rPr>
      <t xml:space="preserve">、継続支援は月単位。</t>
    </r>
  </si>
  <si>
    <t xml:space="preserve">unlimited.html</t>
  </si>
  <si>
    <t xml:space="preserve">変更は何回でも</t>
  </si>
  <si>
    <r>
      <rPr>
        <sz val="9"/>
        <color rgb="FF5A6B7B"/>
        <rFont val="Linux Libertine G"/>
        <family val="2"/>
      </rPr>
      <t xml:space="preserve">料金と作業枠は</t>
    </r>
    <r>
      <rPr>
        <sz val="9"/>
        <color rgb="FF5A6B7B"/>
        <rFont val="Linux Libertine G"/>
        <family val="2"/>
        <charset val="1"/>
      </rPr>
      <t xml:space="preserve">2026-09-14</t>
    </r>
    <r>
      <rPr>
        <sz val="9"/>
        <color rgb="FF5A6B7B"/>
        <rFont val="Linux Libertine G"/>
        <family val="2"/>
      </rPr>
      <t xml:space="preserve">改定。着手</t>
    </r>
    <r>
      <rPr>
        <sz val="9"/>
        <color rgb="FF5A6B7B"/>
        <rFont val="Linux Libertine G"/>
        <family val="2"/>
        <charset val="1"/>
      </rPr>
      <t xml:space="preserve">50%</t>
    </r>
    <r>
      <rPr>
        <sz val="9"/>
        <color rgb="FF5A6B7B"/>
        <rFont val="Linux Libertine G"/>
        <family val="2"/>
      </rPr>
      <t xml:space="preserve">・検収</t>
    </r>
    <r>
      <rPr>
        <sz val="9"/>
        <color rgb="FF5A6B7B"/>
        <rFont val="Linux Libertine G"/>
        <family val="2"/>
        <charset val="1"/>
      </rPr>
      <t xml:space="preserve">50%</t>
    </r>
    <r>
      <rPr>
        <sz val="9"/>
        <color rgb="FF5A6B7B"/>
        <rFont val="Linux Libertine G"/>
        <family val="2"/>
      </rPr>
      <t xml:space="preserve">、継続支援は月単位。曖昧にすると揉める</t>
    </r>
  </si>
  <si>
    <t xml:space="preserve">source.html</t>
  </si>
  <si>
    <t xml:space="preserve">ソースコードの納品</t>
  </si>
  <si>
    <t xml:space="preserve">ソースコードを渡す理由と、渡すものの中身</t>
  </si>
  <si>
    <t xml:space="preserve">cost-cut.html</t>
  </si>
  <si>
    <t xml:space="preserve">掲載費の見直し</t>
  </si>
  <si>
    <t xml:space="preserve">掲載費の見直し。新しい予算の前に、いまの費用を見る</t>
  </si>
  <si>
    <t xml:space="preserve">subsidy.html</t>
  </si>
  <si>
    <t xml:space="preserve">補助金の手順と注意点。採択率も自己負担も先に出す</t>
  </si>
  <si>
    <t xml:space="preserve">spec.html</t>
  </si>
  <si>
    <t xml:space="preserve">納品する仕様</t>
  </si>
  <si>
    <r>
      <rPr>
        <sz val="9"/>
        <color rgb="FF5A6B7B"/>
        <rFont val="Linux Libertine G"/>
        <family val="2"/>
      </rPr>
      <t xml:space="preserve">納品する仕様</t>
    </r>
    <r>
      <rPr>
        <sz val="9"/>
        <color rgb="FF5A6B7B"/>
        <rFont val="Linux Libertine G"/>
        <family val="2"/>
        <charset val="1"/>
      </rPr>
      <t xml:space="preserve">20</t>
    </r>
    <r>
      <rPr>
        <sz val="9"/>
        <color rgb="FF5A6B7B"/>
        <rFont val="Linux Libertine G"/>
        <family val="2"/>
      </rPr>
      <t xml:space="preserve">項目＋売らないもの</t>
    </r>
    <r>
      <rPr>
        <sz val="9"/>
        <color rgb="FF5A6B7B"/>
        <rFont val="Linux Libertine G"/>
        <family val="2"/>
        <charset val="1"/>
      </rPr>
      <t xml:space="preserve">5</t>
    </r>
    <r>
      <rPr>
        <sz val="9"/>
        <color rgb="FF5A6B7B"/>
        <rFont val="Linux Libertine G"/>
        <family val="2"/>
      </rPr>
      <t xml:space="preserve">件。機械で検証</t>
    </r>
  </si>
  <si>
    <t xml:space="preserve">flow.html</t>
  </si>
  <si>
    <t xml:space="preserve">制作の流れ</t>
  </si>
  <si>
    <t xml:space="preserve">works.html</t>
  </si>
  <si>
    <t xml:space="preserve">制作事例</t>
  </si>
  <si>
    <r>
      <rPr>
        <sz val="9"/>
        <color rgb="FF5A6B7B"/>
        <rFont val="Linux Libertine G"/>
        <family val="2"/>
      </rPr>
      <t xml:space="preserve">制作事例。まだ</t>
    </r>
    <r>
      <rPr>
        <sz val="9"/>
        <color rgb="FF5A6B7B"/>
        <rFont val="Linux Libertine G"/>
        <family val="2"/>
        <charset val="1"/>
      </rPr>
      <t xml:space="preserve">1</t>
    </r>
    <r>
      <rPr>
        <sz val="9"/>
        <color rgb="FF5A6B7B"/>
        <rFont val="Linux Libertine G"/>
        <family val="2"/>
      </rPr>
      <t xml:space="preserve">件目だと正直に書く</t>
    </r>
  </si>
  <si>
    <t xml:space="preserve">faq.html</t>
  </si>
  <si>
    <t xml:space="preserve">よくあるご質問</t>
  </si>
  <si>
    <t xml:space="preserve">電話の前に確かめたいこと</t>
  </si>
  <si>
    <t xml:space="preserve">about.html</t>
  </si>
  <si>
    <t xml:space="preserve">私たちについて</t>
  </si>
  <si>
    <r>
      <rPr>
        <sz val="9"/>
        <color rgb="FF5A6B7B"/>
        <rFont val="游ゴシック"/>
        <family val="0"/>
        <charset val="1"/>
      </rPr>
      <t xml:space="preserve">2</t>
    </r>
    <r>
      <rPr>
        <sz val="9"/>
        <color rgb="FF5A6B7B"/>
        <rFont val="Linux Libertine G"/>
        <family val="2"/>
      </rPr>
      <t xml:space="preserve">人でやっていること</t>
    </r>
  </si>
  <si>
    <t xml:space="preserve">contact.html</t>
  </si>
  <si>
    <t xml:space="preserve">相談する</t>
  </si>
  <si>
    <r>
      <rPr>
        <sz val="9"/>
        <color rgb="FF5A6B7B"/>
        <rFont val="Linux Libertine G"/>
        <family val="2"/>
      </rPr>
      <t xml:space="preserve">相談する。聞くのは</t>
    </r>
    <r>
      <rPr>
        <sz val="9"/>
        <color rgb="FF5A6B7B"/>
        <rFont val="Linux Libertine G"/>
        <family val="2"/>
        <charset val="1"/>
      </rPr>
      <t xml:space="preserve">3</t>
    </r>
    <r>
      <rPr>
        <sz val="9"/>
        <color rgb="FF5A6B7B"/>
        <rFont val="Linux Libertine G"/>
        <family val="2"/>
      </rPr>
      <t xml:space="preserve">つだけ</t>
    </r>
  </si>
  <si>
    <t xml:space="preserve">terms.html</t>
  </si>
  <si>
    <t xml:space="preserve">ご契約とお約束</t>
  </si>
  <si>
    <t xml:space="preserve">ご契約とお約束（弁護士確認が未了）</t>
  </si>
  <si>
    <t xml:space="preserve">privacy.html</t>
  </si>
  <si>
    <t xml:space="preserve">個人情報の取り扱い</t>
  </si>
  <si>
    <r>
      <rPr>
        <sz val="9"/>
        <color rgb="FF5A6B7B"/>
        <rFont val="Linux Libertine G"/>
        <family val="2"/>
      </rPr>
      <t xml:space="preserve">個人情報の取り扱い。アクセス解析も</t>
    </r>
    <r>
      <rPr>
        <sz val="9"/>
        <color rgb="FF5A6B7B"/>
        <rFont val="Linux Libertine G"/>
        <family val="2"/>
        <charset val="1"/>
      </rPr>
      <t xml:space="preserve">Cookie</t>
    </r>
    <r>
      <rPr>
        <sz val="9"/>
        <color rgb="FF5A6B7B"/>
        <rFont val="Linux Libertine G"/>
        <family val="2"/>
      </rPr>
      <t xml:space="preserve">も使っていない</t>
    </r>
  </si>
  <si>
    <t xml:space="preserve">legal.html</t>
  </si>
  <si>
    <t xml:space="preserve">特定商取引法に基づく表記</t>
  </si>
  <si>
    <t xml:space="preserve">restaurant.html</t>
  </si>
  <si>
    <t xml:space="preserve">飲食店（業種別）</t>
  </si>
  <si>
    <t xml:space="preserve">メニューと写真と予約導線。食べログの掲載費の見直しまで。</t>
  </si>
  <si>
    <t xml:space="preserve">koumuten.html</t>
  </si>
  <si>
    <t xml:space="preserve">工務店・建設（業種別）</t>
  </si>
  <si>
    <t xml:space="preserve">施工事例が増えていく設計。問い合わせフォームが主役。</t>
  </si>
  <si>
    <t xml:space="preserve">salon.html</t>
  </si>
  <si>
    <t xml:space="preserve">美容室・サロン（業種別）</t>
  </si>
  <si>
    <t xml:space="preserve">全メニューの料金表と予約導線。掲載費の棚卸しから。</t>
  </si>
  <si>
    <t xml:space="preserve">shigyo.html</t>
  </si>
  <si>
    <t xml:space="preserve">士業・専門事務所（業種別）</t>
  </si>
  <si>
    <t xml:space="preserve">料金を明示して、人柄が伝わること。電話を最上部に。</t>
  </si>
  <si>
    <t xml:space="preserve">404.html</t>
  </si>
  <si>
    <t xml:space="preserve">ページが見つかりません</t>
  </si>
  <si>
    <t xml:space="preserve">行き止まりにせず、電話とトップに戻す</t>
  </si>
  <si>
    <r>
      <rPr>
        <sz val="9"/>
        <color rgb="FF5A6B7B"/>
        <rFont val="Linux Libertine G"/>
        <family val="2"/>
      </rPr>
      <t xml:space="preserve">ヘッダーに入る</t>
    </r>
    <r>
      <rPr>
        <sz val="9"/>
        <color rgb="FF5A6B7B"/>
        <rFont val="Linux Libertine G"/>
        <family val="2"/>
        <charset val="1"/>
      </rPr>
      <t xml:space="preserve">4</t>
    </r>
    <r>
      <rPr>
        <sz val="9"/>
        <color rgb="FF5A6B7B"/>
        <rFont val="Linux Libertine G"/>
        <family val="2"/>
      </rPr>
      <t xml:space="preserve">本：借地と所有／料金／掲載費の見直し／補助金。</t>
    </r>
    <r>
      <rPr>
        <sz val="9"/>
        <color rgb="FF5A6B7B"/>
        <rFont val="Linux Libertine G"/>
        <family val="2"/>
        <charset val="1"/>
      </rPr>
      <t xml:space="preserve">robots.txt </t>
    </r>
    <r>
      <rPr>
        <sz val="9"/>
        <color rgb="FF5A6B7B"/>
        <rFont val="Linux Libertine G"/>
        <family val="2"/>
      </rPr>
      <t xml:space="preserve">と </t>
    </r>
    <r>
      <rPr>
        <sz val="9"/>
        <color rgb="FF5A6B7B"/>
        <rFont val="Linux Libertine G"/>
        <family val="2"/>
        <charset val="1"/>
      </rPr>
      <t xml:space="preserve">sitemap.xml </t>
    </r>
    <r>
      <rPr>
        <sz val="9"/>
        <color rgb="FF5A6B7B"/>
        <rFont val="Linux Libertine G"/>
        <family val="2"/>
      </rPr>
      <t xml:space="preserve">も出力する。</t>
    </r>
    <r>
      <rPr>
        <sz val="9"/>
        <color rgb="FF5A6B7B"/>
        <rFont val="Linux Libertine G"/>
        <family val="2"/>
        <charset val="1"/>
      </rPr>
      <t xml:space="preserve">llms.txt </t>
    </r>
    <r>
      <rPr>
        <sz val="9"/>
        <color rgb="FF5A6B7B"/>
        <rFont val="Linux Libertine G"/>
        <family val="2"/>
      </rPr>
      <t xml:space="preserve">は作らない（根拠がないため。検査が見張っている）。</t>
    </r>
  </si>
  <si>
    <t xml:space="preserve">紬｜料金表</t>
  </si>
  <si>
    <r>
      <rPr>
        <b val="true"/>
        <sz val="10"/>
        <color rgb="FFFFFFFF"/>
        <rFont val="Linux Libertine G"/>
        <family val="2"/>
      </rPr>
      <t xml:space="preserve">ページ</t>
    </r>
    <r>
      <rPr>
        <b val="true"/>
        <sz val="10"/>
        <color rgb="FFFFFFFF"/>
        <rFont val="Linux Libertine G"/>
        <family val="2"/>
        <charset val="1"/>
      </rPr>
      <t xml:space="preserve">/</t>
    </r>
    <r>
      <rPr>
        <b val="true"/>
        <sz val="10"/>
        <color rgb="FFFFFFFF"/>
        <rFont val="Linux Libertine G"/>
        <family val="2"/>
      </rPr>
      <t xml:space="preserve">支援枠</t>
    </r>
  </si>
  <si>
    <t xml:space="preserve">税別料金</t>
  </si>
  <si>
    <r>
      <rPr>
        <sz val="10"/>
        <color rgb="FF111C29"/>
        <rFont val="游ゴシック"/>
        <family val="0"/>
        <charset val="1"/>
      </rPr>
      <t xml:space="preserve">1</t>
    </r>
    <r>
      <rPr>
        <sz val="10"/>
        <color rgb="FF111C29"/>
        <rFont val="Linux Libertine G"/>
        <family val="2"/>
      </rPr>
      <t xml:space="preserve">ページ以内</t>
    </r>
  </si>
  <si>
    <r>
      <rPr>
        <sz val="10"/>
        <color rgb="FF111C29"/>
        <rFont val="游ゴシック"/>
        <family val="0"/>
        <charset val="1"/>
      </rPr>
      <t xml:space="preserve">6</t>
    </r>
    <r>
      <rPr>
        <sz val="10"/>
        <color rgb="FF111C29"/>
        <rFont val="Linux Libertine G"/>
        <family val="2"/>
      </rPr>
      <t xml:space="preserve">ページ以内</t>
    </r>
  </si>
  <si>
    <r>
      <rPr>
        <sz val="10"/>
        <color rgb="FF111C29"/>
        <rFont val="游ゴシック"/>
        <family val="0"/>
        <charset val="1"/>
      </rPr>
      <t xml:space="preserve">9</t>
    </r>
    <r>
      <rPr>
        <sz val="10"/>
        <color rgb="FF111C29"/>
        <rFont val="Linux Libertine G"/>
        <family val="2"/>
      </rPr>
      <t xml:space="preserve">ページ以内</t>
    </r>
  </si>
  <si>
    <r>
      <rPr>
        <sz val="10"/>
        <color rgb="FF111C29"/>
        <rFont val="游ゴシック"/>
        <family val="0"/>
        <charset val="1"/>
      </rPr>
      <t xml:space="preserve">0</t>
    </r>
    <r>
      <rPr>
        <sz val="10"/>
        <color rgb="FF111C29"/>
        <rFont val="Linux Libertine G"/>
        <family val="2"/>
      </rPr>
      <t xml:space="preserve">分</t>
    </r>
    <r>
      <rPr>
        <sz val="10"/>
        <color rgb="FF111C29"/>
        <rFont val="游ゴシック"/>
        <family val="0"/>
        <charset val="1"/>
      </rPr>
      <t xml:space="preserve">/</t>
    </r>
    <r>
      <rPr>
        <sz val="10"/>
        <color rgb="FF111C29"/>
        <rFont val="Linux Libertine G"/>
        <family val="2"/>
      </rPr>
      <t xml:space="preserve">月</t>
    </r>
  </si>
  <si>
    <r>
      <rPr>
        <sz val="10"/>
        <color rgb="FF111C29"/>
        <rFont val="游ゴシック"/>
        <family val="0"/>
        <charset val="1"/>
      </rPr>
      <t xml:space="preserve">30</t>
    </r>
    <r>
      <rPr>
        <sz val="10"/>
        <color rgb="FF111C29"/>
        <rFont val="Linux Libertine G"/>
        <family val="2"/>
      </rPr>
      <t xml:space="preserve">分</t>
    </r>
    <r>
      <rPr>
        <sz val="10"/>
        <color rgb="FF111C29"/>
        <rFont val="游ゴシック"/>
        <family val="0"/>
        <charset val="1"/>
      </rPr>
      <t xml:space="preserve">/</t>
    </r>
    <r>
      <rPr>
        <sz val="10"/>
        <color rgb="FF111C29"/>
        <rFont val="Linux Libertine G"/>
        <family val="2"/>
      </rPr>
      <t xml:space="preserve">月</t>
    </r>
  </si>
  <si>
    <r>
      <rPr>
        <sz val="10"/>
        <color rgb="FF111C29"/>
        <rFont val="游ゴシック"/>
        <family val="0"/>
        <charset val="1"/>
      </rPr>
      <t xml:space="preserve">90</t>
    </r>
    <r>
      <rPr>
        <sz val="10"/>
        <color rgb="FF111C29"/>
        <rFont val="Linux Libertine G"/>
        <family val="2"/>
      </rPr>
      <t xml:space="preserve">分</t>
    </r>
    <r>
      <rPr>
        <sz val="10"/>
        <color rgb="FF111C29"/>
        <rFont val="游ゴシック"/>
        <family val="0"/>
        <charset val="1"/>
      </rPr>
      <t xml:space="preserve">/</t>
    </r>
    <r>
      <rPr>
        <sz val="10"/>
        <color rgb="FF111C29"/>
        <rFont val="Linux Libertine G"/>
        <family val="2"/>
      </rPr>
      <t xml:space="preserve">月</t>
    </r>
  </si>
  <si>
    <r>
      <rPr>
        <b val="true"/>
        <sz val="10"/>
        <color rgb="FF111C29"/>
        <rFont val="Linux Libertine G"/>
        <family val="2"/>
      </rPr>
      <t xml:space="preserve">サーバー・ドメイン・</t>
    </r>
    <r>
      <rPr>
        <b val="true"/>
        <sz val="10"/>
        <color rgb="FF111C29"/>
        <rFont val="Linux Libertine G"/>
        <family val="2"/>
        <charset val="1"/>
      </rPr>
      <t xml:space="preserve">CMS</t>
    </r>
    <r>
      <rPr>
        <b val="true"/>
        <sz val="10"/>
        <color rgb="FF111C29"/>
        <rFont val="Linux Libertine G"/>
        <family val="2"/>
      </rPr>
      <t xml:space="preserve">・フォーム等は実費。納品時の引継ぎを含みます。支援を終了しても外部契約の費用は残ります。第三者の素材・サービスはその利用条件に従います。</t>
    </r>
  </si>
  <si>
    <r>
      <rPr>
        <b val="true"/>
        <sz val="10"/>
        <color rgb="FF111C29"/>
        <rFont val="Linux Libertine G"/>
        <family val="2"/>
      </rPr>
      <t xml:space="preserve">増築時の充当</t>
    </r>
    <r>
      <rPr>
        <b val="true"/>
        <sz val="10"/>
        <color rgb="FF111C29"/>
        <rFont val="Linux Libertine G"/>
        <family val="2"/>
        <charset val="1"/>
      </rPr>
      <t xml:space="preserve">: </t>
    </r>
    <r>
      <rPr>
        <b val="true"/>
        <sz val="10"/>
        <color rgb="FF111C29"/>
        <rFont val="Linux Libertine G"/>
        <family val="2"/>
      </rPr>
      <t xml:space="preserve">同一事業・再利用できる構成・納品</t>
    </r>
    <r>
      <rPr>
        <b val="true"/>
        <sz val="10"/>
        <color rgb="FF111C29"/>
        <rFont val="Linux Libertine G"/>
        <family val="2"/>
        <charset val="1"/>
      </rPr>
      <t xml:space="preserve">12</t>
    </r>
    <r>
      <rPr>
        <b val="true"/>
        <sz val="10"/>
        <color rgb="FF111C29"/>
        <rFont val="Linux Libertine G"/>
        <family val="2"/>
      </rPr>
      <t xml:space="preserve">か月以内・</t>
    </r>
    <r>
      <rPr>
        <b val="true"/>
        <sz val="10"/>
        <color rgb="FF111C29"/>
        <rFont val="Linux Libertine G"/>
        <family val="2"/>
        <charset val="1"/>
      </rPr>
      <t xml:space="preserve">1</t>
    </r>
    <r>
      <rPr>
        <b val="true"/>
        <sz val="10"/>
        <color rgb="FF111C29"/>
        <rFont val="Linux Libertine G"/>
        <family val="2"/>
      </rPr>
      <t xml:space="preserve">回のみ。通常の変更は月合計を</t>
    </r>
    <r>
      <rPr>
        <b val="true"/>
        <sz val="10"/>
        <color rgb="FF111C29"/>
        <rFont val="Linux Libertine G"/>
        <family val="2"/>
        <charset val="1"/>
      </rPr>
      <t xml:space="preserve">5</t>
    </r>
    <r>
      <rPr>
        <b val="true"/>
        <sz val="10"/>
        <color rgb="FF111C29"/>
        <rFont val="Linux Libertine G"/>
        <family val="2"/>
      </rPr>
      <t xml:space="preserve">分単位で切上げ、繰越なし。枠を超える前に次月対応か別見積もりを選択。</t>
    </r>
  </si>
  <si>
    <t xml:space="preserve">入力または算式</t>
  </si>
  <si>
    <t xml:space="preserve">出所・意味</t>
  </si>
  <si>
    <t xml:space="preserve">営業・事務等</t>
  </si>
  <si>
    <r>
      <rPr>
        <sz val="10"/>
        <color rgb="FF111C29"/>
        <rFont val="Linux Libertine G"/>
        <family val="2"/>
      </rPr>
      <t xml:space="preserve">仮定 </t>
    </r>
    <r>
      <rPr>
        <sz val="10"/>
        <color rgb="FF111C29"/>
        <rFont val="Linux Libertine G"/>
        <family val="2"/>
        <charset val="1"/>
      </rPr>
      <t xml:space="preserve">/ tools/pricing/proposal.json</t>
    </r>
  </si>
  <si>
    <t xml:space="preserve">契約可能な時間</t>
  </si>
  <si>
    <t xml:space="preserve">計算結果。予備時間を売らない</t>
  </si>
  <si>
    <t xml:space="preserve">未検証の仮定・税引後手取りではない</t>
  </si>
  <si>
    <t xml:space="preserve">本人時間の全体原価</t>
  </si>
  <si>
    <r>
      <rPr>
        <sz val="10"/>
        <color rgb="FF111C29"/>
        <rFont val="Linux Libertine G"/>
        <family val="2"/>
      </rPr>
      <t xml:space="preserve">全</t>
    </r>
    <r>
      <rPr>
        <sz val="10"/>
        <color rgb="FF111C29"/>
        <rFont val="Linux Libertine G"/>
        <family val="2"/>
        <charset val="1"/>
      </rPr>
      <t xml:space="preserve">140</t>
    </r>
    <r>
      <rPr>
        <sz val="10"/>
        <color rgb="FF111C29"/>
        <rFont val="Linux Libertine G"/>
        <family val="2"/>
      </rPr>
      <t xml:space="preserve">時間を一度だけ評価</t>
    </r>
  </si>
  <si>
    <t xml:space="preserve">モデル制作時間</t>
  </si>
  <si>
    <r>
      <rPr>
        <sz val="10"/>
        <color rgb="FF111C29"/>
        <rFont val="Linux Libertine G"/>
        <family val="2"/>
      </rPr>
      <t xml:space="preserve">土台</t>
    </r>
    <r>
      <rPr>
        <sz val="10"/>
        <color rgb="FF111C29"/>
        <rFont val="Linux Libertine G"/>
        <family val="2"/>
        <charset val="1"/>
      </rPr>
      <t xml:space="preserve">1</t>
    </r>
    <r>
      <rPr>
        <sz val="10"/>
        <color rgb="FF111C29"/>
        <rFont val="Linux Libertine G"/>
        <family val="2"/>
      </rPr>
      <t xml:space="preserve">件</t>
    </r>
    <r>
      <rPr>
        <sz val="10"/>
        <color rgb="FF111C29"/>
        <rFont val="Linux Libertine G"/>
        <family val="2"/>
        <charset val="1"/>
      </rPr>
      <t xml:space="preserve">15h</t>
    </r>
    <r>
      <rPr>
        <sz val="10"/>
        <color rgb="FF111C29"/>
        <rFont val="Linux Libertine G"/>
        <family val="2"/>
      </rPr>
      <t xml:space="preserve">＋情報育成</t>
    </r>
    <r>
      <rPr>
        <sz val="10"/>
        <color rgb="FF111C29"/>
        <rFont val="Linux Libertine G"/>
        <family val="2"/>
        <charset val="1"/>
      </rPr>
      <t xml:space="preserve">1</t>
    </r>
    <r>
      <rPr>
        <sz val="10"/>
        <color rgb="FF111C29"/>
        <rFont val="Linux Libertine G"/>
        <family val="2"/>
      </rPr>
      <t xml:space="preserve">件</t>
    </r>
    <r>
      <rPr>
        <sz val="10"/>
        <color rgb="FF111C29"/>
        <rFont val="Linux Libertine G"/>
        <family val="2"/>
        <charset val="1"/>
      </rPr>
      <t xml:space="preserve">26h</t>
    </r>
    <r>
      <rPr>
        <sz val="10"/>
        <color rgb="FF111C29"/>
        <rFont val="Linux Libertine G"/>
        <family val="2"/>
      </rPr>
      <t xml:space="preserve">。</t>
    </r>
    <r>
      <rPr>
        <sz val="10"/>
        <color rgb="FF111C29"/>
        <rFont val="Linux Libertine G"/>
        <family val="2"/>
        <charset val="1"/>
      </rPr>
      <t xml:space="preserve">CMS</t>
    </r>
    <r>
      <rPr>
        <sz val="10"/>
        <color rgb="FF111C29"/>
        <rFont val="Linux Libertine G"/>
        <family val="2"/>
      </rPr>
      <t xml:space="preserve">提供開始後の条件付き</t>
    </r>
  </si>
  <si>
    <t xml:space="preserve">モデル支援時間</t>
  </si>
  <si>
    <r>
      <rPr>
        <sz val="10"/>
        <color rgb="FF111C29"/>
        <rFont val="Linux Libertine G"/>
        <family val="2"/>
      </rPr>
      <t xml:space="preserve">守る</t>
    </r>
    <r>
      <rPr>
        <sz val="10"/>
        <color rgb="FF111C29"/>
        <rFont val="Linux Libertine G"/>
        <family val="2"/>
        <charset val="1"/>
      </rPr>
      <t xml:space="preserve">10</t>
    </r>
    <r>
      <rPr>
        <sz val="10"/>
        <color rgb="FF111C29"/>
        <rFont val="Linux Libertine G"/>
        <family val="2"/>
      </rPr>
      <t xml:space="preserve">社・整える</t>
    </r>
    <r>
      <rPr>
        <sz val="10"/>
        <color rgb="FF111C29"/>
        <rFont val="Linux Libertine G"/>
        <family val="2"/>
        <charset val="1"/>
      </rPr>
      <t xml:space="preserve">16</t>
    </r>
    <r>
      <rPr>
        <sz val="10"/>
        <color rgb="FF111C29"/>
        <rFont val="Linux Libertine G"/>
        <family val="2"/>
      </rPr>
      <t xml:space="preserve">社・育てる</t>
    </r>
    <r>
      <rPr>
        <sz val="10"/>
        <color rgb="FF111C29"/>
        <rFont val="Linux Libertine G"/>
        <family val="2"/>
        <charset val="1"/>
      </rPr>
      <t xml:space="preserve">6</t>
    </r>
    <r>
      <rPr>
        <sz val="10"/>
        <color rgb="FF111C29"/>
        <rFont val="Linux Libertine G"/>
        <family val="2"/>
      </rPr>
      <t xml:space="preserve">社。未検証工数</t>
    </r>
  </si>
  <si>
    <t xml:space="preserve">契約時間の余白</t>
  </si>
  <si>
    <t xml:space="preserve">営業・予備を別に確保したうえでの余白</t>
  </si>
  <si>
    <r>
      <rPr>
        <sz val="10"/>
        <color rgb="FF111C29"/>
        <rFont val="游ゴシック"/>
        <family val="0"/>
        <charset val="1"/>
      </rPr>
      <t xml:space="preserve">25%</t>
    </r>
    <r>
      <rPr>
        <sz val="10"/>
        <color rgb="FF111C29"/>
        <rFont val="Linux Libertine G"/>
        <family val="2"/>
      </rPr>
      <t xml:space="preserve">の工数増での余白</t>
    </r>
  </si>
  <si>
    <t xml:space="preserve">負なら追加受注を止める。未検証の感度ケース</t>
  </si>
</sst>
</file>

<file path=xl/styles.xml><?xml version="1.0" encoding="utf-8"?>
<styleSheet xmlns="http://schemas.openxmlformats.org/spreadsheetml/2006/main">
  <numFmts count="8">
    <numFmt numFmtId="164" formatCode="General"/>
    <numFmt numFmtId="165" formatCode="#,##0"/>
    <numFmt numFmtId="166" formatCode="#,##0\円"/>
    <numFmt numFmtId="167" formatCode="0%"/>
    <numFmt numFmtId="168" formatCode="0.0%"/>
    <numFmt numFmtId="169" formatCode="0.00"/>
    <numFmt numFmtId="170" formatCode="#,##0;[RED]\(#,##0\);0"/>
    <numFmt numFmtId="171" formatCode="#,##0.00"/>
  </numFmts>
  <fonts count="54">
    <font>
      <sz val="11"/>
      <color theme="1"/>
      <name val="Linux Libertine G"/>
      <family val="2"/>
    </font>
    <font>
      <sz val="10"/>
      <name val="Arial"/>
      <family val="0"/>
    </font>
    <font>
      <sz val="10"/>
      <name val="Arial"/>
      <family val="0"/>
    </font>
    <font>
      <sz val="10"/>
      <name val="Arial"/>
      <family val="0"/>
    </font>
    <font>
      <b val="true"/>
      <sz val="15"/>
      <color rgb="FF1F3049"/>
      <name val="Linux Libertine G"/>
      <family val="2"/>
    </font>
    <font>
      <sz val="9.5"/>
      <color rgb="FF5A6B7B"/>
      <name val="Noto Sans CJK SC"/>
      <family val="2"/>
      <charset val="1"/>
    </font>
    <font>
      <sz val="9.5"/>
      <color rgb="FF5A6B7B"/>
      <name val="Linux Libertine G"/>
      <family val="2"/>
    </font>
    <font>
      <b val="true"/>
      <sz val="10"/>
      <color rgb="FFFFFFFF"/>
      <name val="Linux Libertine G"/>
      <family val="2"/>
    </font>
    <font>
      <b val="true"/>
      <sz val="9"/>
      <color rgb="FF5A6B7B"/>
      <name val="Linux Libertine G"/>
      <family val="2"/>
    </font>
    <font>
      <b val="true"/>
      <sz val="10"/>
      <color rgb="FF111C29"/>
      <name val="Linux Libertine G"/>
      <family val="2"/>
    </font>
    <font>
      <sz val="9.5"/>
      <color rgb="FF111C29"/>
      <name val="Linux Libertine G"/>
      <family val="2"/>
    </font>
    <font>
      <sz val="9.5"/>
      <color rgb="FF0000FF"/>
      <name val="Linux Libertine G"/>
      <family val="2"/>
    </font>
    <font>
      <sz val="9.5"/>
      <color rgb="FF111C29"/>
      <name val="游ゴシック"/>
      <family val="0"/>
      <charset val="1"/>
    </font>
    <font>
      <sz val="9.5"/>
      <color rgb="FF111C29"/>
      <name val="Linux Libertine G"/>
      <family val="2"/>
      <charset val="1"/>
    </font>
    <font>
      <b val="true"/>
      <sz val="10"/>
      <color rgb="FF111C29"/>
      <name val="Linux Libertine G"/>
      <family val="2"/>
      <charset val="1"/>
    </font>
    <font>
      <sz val="9.5"/>
      <color rgb="FF0E7A45"/>
      <name val="Linux Libertine G"/>
      <family val="2"/>
    </font>
    <font>
      <sz val="10"/>
      <color rgb="FF0000FF"/>
      <name val="Linux Libertine G"/>
      <family val="2"/>
    </font>
    <font>
      <sz val="10"/>
      <color rgb="FF111C29"/>
      <name val="Linux Libertine G"/>
      <family val="2"/>
    </font>
    <font>
      <sz val="10"/>
      <color rgb="FF5A6B7B"/>
      <name val="Linux Libertine G"/>
      <family val="2"/>
    </font>
    <font>
      <sz val="10"/>
      <color rgb="FF111C29"/>
      <name val="Linux Libertine G"/>
      <family val="2"/>
      <charset val="1"/>
    </font>
    <font>
      <sz val="10"/>
      <color rgb="FFB0342C"/>
      <name val="Linux Libertine G"/>
      <family val="2"/>
    </font>
    <font>
      <sz val="10"/>
      <color rgb="FF111C29"/>
      <name val="游ゴシック"/>
      <family val="0"/>
      <charset val="1"/>
    </font>
    <font>
      <sz val="9"/>
      <color rgb="FF5A6B7B"/>
      <name val="Linux Libertine G"/>
      <family val="2"/>
    </font>
    <font>
      <sz val="9"/>
      <color rgb="FF5A6B7B"/>
      <name val="Linux Libertine G"/>
      <family val="2"/>
      <charset val="1"/>
    </font>
    <font>
      <sz val="9"/>
      <color rgb="FF5A6B7B"/>
      <name val="游ゴシック"/>
      <family val="0"/>
      <charset val="1"/>
    </font>
    <font>
      <b val="true"/>
      <sz val="10"/>
      <color rgb="FF1F3049"/>
      <name val="Linux Libertine G"/>
      <family val="2"/>
    </font>
    <font>
      <b val="true"/>
      <sz val="10"/>
      <color rgb="FF0000FF"/>
      <name val="游ゴシック"/>
      <family val="0"/>
      <charset val="1"/>
    </font>
    <font>
      <b val="true"/>
      <sz val="10"/>
      <color rgb="FF0000FF"/>
      <name val="Linux Libertine G"/>
      <family val="2"/>
    </font>
    <font>
      <sz val="10"/>
      <name val="Linux Libertine G"/>
      <family val="2"/>
    </font>
    <font>
      <sz val="10"/>
      <name val="Arial"/>
      <family val="2"/>
    </font>
    <font>
      <b val="true"/>
      <sz val="15"/>
      <color rgb="FF1F3049"/>
      <name val="Linux Libertine G"/>
      <family val="2"/>
      <charset val="1"/>
    </font>
    <font>
      <sz val="10"/>
      <color rgb="FF008000"/>
      <name val="游ゴシック"/>
      <family val="0"/>
      <charset val="1"/>
    </font>
    <font>
      <b val="true"/>
      <sz val="10"/>
      <color rgb="FFFFFFFF"/>
      <name val="Linux Libertine G"/>
      <family val="2"/>
      <charset val="1"/>
    </font>
    <font>
      <b val="true"/>
      <sz val="15"/>
      <color rgb="FF1F3049"/>
      <name val="Noto Sans CJK SC"/>
      <family val="2"/>
      <charset val="1"/>
    </font>
    <font>
      <sz val="9.5"/>
      <color rgb="FF5A6B7B"/>
      <name val="Linux Libertine G"/>
      <family val="2"/>
      <charset val="1"/>
    </font>
    <font>
      <sz val="10"/>
      <color rgb="FF0000FF"/>
      <name val="游ゴシック"/>
      <family val="0"/>
      <charset val="1"/>
    </font>
    <font>
      <sz val="9"/>
      <color rgb="FF111C29"/>
      <name val="Linux Libertine G"/>
      <family val="2"/>
    </font>
    <font>
      <b val="true"/>
      <sz val="10"/>
      <color rgb="FF111C29"/>
      <name val="游ゴシック"/>
      <family val="0"/>
      <charset val="1"/>
    </font>
    <font>
      <b val="true"/>
      <sz val="10"/>
      <color rgb="FF0E7A45"/>
      <name val="游ゴシック"/>
      <family val="0"/>
      <charset val="1"/>
    </font>
    <font>
      <b val="true"/>
      <sz val="10"/>
      <color rgb="FF1F3049"/>
      <name val="游ゴシック"/>
      <family val="0"/>
      <charset val="1"/>
    </font>
    <font>
      <b val="true"/>
      <sz val="10"/>
      <color rgb="FFFFFFFF"/>
      <name val="游ゴシック"/>
      <family val="0"/>
      <charset val="1"/>
    </font>
    <font>
      <b val="true"/>
      <sz val="9"/>
      <color rgb="FF1F3049"/>
      <name val="Linux Libertine G"/>
      <family val="2"/>
    </font>
    <font>
      <b val="true"/>
      <sz val="9.5"/>
      <color rgb="FF111C29"/>
      <name val="Linux Libertine G"/>
      <family val="2"/>
    </font>
    <font>
      <sz val="9"/>
      <color rgb="FF111C29"/>
      <name val="Linux Libertine G"/>
      <family val="2"/>
      <charset val="1"/>
    </font>
    <font>
      <b val="true"/>
      <sz val="9.5"/>
      <color rgb="FF111C29"/>
      <name val="Linux Libertine G"/>
      <family val="2"/>
      <charset val="1"/>
    </font>
    <font>
      <sz val="9"/>
      <color rgb="FF111C29"/>
      <name val="游ゴシック"/>
      <family val="0"/>
      <charset val="1"/>
    </font>
    <font>
      <b val="true"/>
      <sz val="9.5"/>
      <color rgb="FF111C29"/>
      <name val="游ゴシック"/>
      <family val="0"/>
      <charset val="1"/>
    </font>
    <font>
      <b val="true"/>
      <sz val="10"/>
      <color rgb="FFB0342C"/>
      <name val="游ゴシック"/>
      <family val="0"/>
      <charset val="1"/>
    </font>
    <font>
      <b val="true"/>
      <sz val="10"/>
      <color rgb="FFB0342C"/>
      <name val="Linux Libertine G"/>
      <family val="2"/>
    </font>
    <font>
      <b val="true"/>
      <sz val="10"/>
      <color rgb="FFB0342C"/>
      <name val="Linux Libertine G"/>
      <family val="2"/>
      <charset val="1"/>
    </font>
    <font>
      <sz val="10"/>
      <color rgb="FF5A6B7B"/>
      <name val="游ゴシック"/>
      <family val="0"/>
      <charset val="1"/>
    </font>
    <font>
      <sz val="9"/>
      <color rgb="FFB0342C"/>
      <name val="Linux Libertine G"/>
      <family val="2"/>
    </font>
    <font>
      <sz val="9"/>
      <color rgb="FFB0342C"/>
      <name val="Linux Libertine G"/>
      <family val="2"/>
      <charset val="1"/>
    </font>
    <font>
      <sz val="10"/>
      <color rgb="FF000000"/>
      <name val="游ゴシック"/>
      <family val="0"/>
      <charset val="1"/>
    </font>
  </fonts>
  <fills count="5">
    <fill>
      <patternFill patternType="none"/>
    </fill>
    <fill>
      <patternFill patternType="gray125"/>
    </fill>
    <fill>
      <patternFill patternType="solid">
        <fgColor rgb="FF1F3049"/>
        <bgColor rgb="FF003366"/>
      </patternFill>
    </fill>
    <fill>
      <patternFill patternType="solid">
        <fgColor rgb="FFFFF8DC"/>
        <bgColor rgb="FFFFFFFF"/>
      </patternFill>
    </fill>
    <fill>
      <patternFill patternType="solid">
        <fgColor rgb="FFEEF3F7"/>
        <bgColor rgb="FFFFFFFF"/>
      </patternFill>
    </fill>
  </fills>
  <borders count="4">
    <border diagonalUp="false" diagonalDown="false">
      <left/>
      <right/>
      <top/>
      <bottom/>
      <diagonal/>
    </border>
    <border diagonalUp="false" diagonalDown="false">
      <left style="thin">
        <color rgb="FFC9D4DE"/>
      </left>
      <right style="thin">
        <color rgb="FFC9D4DE"/>
      </right>
      <top style="thin">
        <color rgb="FFC9D4DE"/>
      </top>
      <bottom style="thin">
        <color rgb="FFC9D4DE"/>
      </bottom>
      <diagonal/>
    </border>
    <border diagonalUp="false" diagonalDown="false">
      <left style="thin">
        <color rgb="FFC9D4DE"/>
      </left>
      <right/>
      <top style="thin">
        <color rgb="FFC9D4DE"/>
      </top>
      <bottom style="thin">
        <color rgb="FFC9D4DE"/>
      </bottom>
      <diagonal/>
    </border>
    <border diagonalUp="false" diagonalDown="false">
      <left/>
      <right/>
      <top/>
      <bottom style="hair">
        <color rgb="FFDDE3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22" fillId="0" borderId="1" xfId="0" applyFont="true" applyBorder="true" applyAlignment="true" applyProtection="false">
      <alignment horizontal="left"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5" fillId="4" borderId="1" xfId="0" applyFont="true" applyBorder="true" applyAlignment="true" applyProtection="false">
      <alignment horizontal="left" vertical="center" textRotation="0" wrapText="false" indent="0" shrinkToFit="false"/>
      <protection locked="true" hidden="false"/>
    </xf>
    <xf numFmtId="164" fontId="17" fillId="4" borderId="1" xfId="0" applyFont="true" applyBorder="true" applyAlignment="true" applyProtection="false">
      <alignment horizontal="left" vertical="center" textRotation="0" wrapText="false" indent="0" shrinkToFit="false"/>
      <protection locked="true" hidden="false"/>
    </xf>
    <xf numFmtId="165" fontId="26" fillId="3" borderId="1" xfId="0" applyFont="true" applyBorder="true" applyAlignment="true" applyProtection="false">
      <alignment horizontal="right" vertical="center" textRotation="0" wrapText="false" indent="0" shrinkToFit="false"/>
      <protection locked="true" hidden="false"/>
    </xf>
    <xf numFmtId="164" fontId="22" fillId="0" borderId="1" xfId="0" applyFont="true" applyBorder="true" applyAlignment="true" applyProtection="false">
      <alignment horizontal="center" vertical="center" textRotation="0" wrapText="false" indent="0" shrinkToFit="false"/>
      <protection locked="true" hidden="false"/>
    </xf>
    <xf numFmtId="166" fontId="27" fillId="3" borderId="1" xfId="0" applyFont="true" applyBorder="true" applyAlignment="true" applyProtection="false">
      <alignment horizontal="right" vertical="center" textRotation="0" wrapText="false" indent="0" shrinkToFit="false"/>
      <protection locked="true" hidden="false"/>
    </xf>
    <xf numFmtId="167" fontId="26" fillId="3" borderId="1" xfId="0" applyFont="true" applyBorder="true" applyAlignment="true" applyProtection="false">
      <alignment horizontal="right" vertical="center" textRotation="0" wrapText="false" indent="0" shrinkToFit="false"/>
      <protection locked="true" hidden="false"/>
    </xf>
    <xf numFmtId="168" fontId="26" fillId="3" borderId="1" xfId="0" applyFont="true" applyBorder="true" applyAlignment="true" applyProtection="false">
      <alignment horizontal="right" vertical="center" textRotation="0" wrapText="false" indent="0" shrinkToFit="false"/>
      <protection locked="true" hidden="false"/>
    </xf>
    <xf numFmtId="169" fontId="26" fillId="3" borderId="1" xfId="0" applyFont="true" applyBorder="true" applyAlignment="true" applyProtection="false">
      <alignment horizontal="right" vertical="center" textRotation="0" wrapText="false" indent="0" shrinkToFit="false"/>
      <protection locked="true" hidden="false"/>
    </xf>
    <xf numFmtId="164" fontId="4" fillId="0" borderId="0" xfId="0" applyFont="true" applyBorder="true" applyAlignment="true" applyProtection="false">
      <alignment horizontal="general"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4" fontId="17" fillId="0" borderId="3" xfId="0" applyFont="true" applyBorder="true" applyAlignment="true" applyProtection="false">
      <alignment horizontal="general" vertical="center" textRotation="0" wrapText="true" indent="0" shrinkToFit="false"/>
      <protection locked="true" hidden="false"/>
    </xf>
    <xf numFmtId="170" fontId="21" fillId="0" borderId="3" xfId="0" applyFont="true" applyBorder="true" applyAlignment="true" applyProtection="false">
      <alignment horizontal="general" vertical="center" textRotation="0" wrapText="true" indent="0" shrinkToFit="false"/>
      <protection locked="true" hidden="false"/>
    </xf>
    <xf numFmtId="170" fontId="31" fillId="0" borderId="3" xfId="0" applyFont="true" applyBorder="true" applyAlignment="true" applyProtection="false">
      <alignment horizontal="general" vertical="center" textRotation="0" wrapText="true" indent="0" shrinkToFit="false"/>
      <protection locked="true" hidden="false"/>
    </xf>
    <xf numFmtId="164" fontId="21" fillId="0" borderId="3" xfId="0" applyFont="true" applyBorder="true" applyAlignment="true" applyProtection="false">
      <alignment horizontal="general" vertical="center" textRotation="0" wrapText="true" indent="0" shrinkToFit="false"/>
      <protection locked="true" hidden="false"/>
    </xf>
    <xf numFmtId="164" fontId="33" fillId="0" borderId="0" xfId="0" applyFont="true" applyBorder="true" applyAlignment="true" applyProtection="false">
      <alignment horizontal="general" vertical="center" textRotation="0" wrapText="true" indent="0" shrinkToFit="false"/>
      <protection locked="true" hidden="false"/>
    </xf>
    <xf numFmtId="166" fontId="35" fillId="3" borderId="1" xfId="0" applyFont="true" applyBorder="true" applyAlignment="true" applyProtection="false">
      <alignment horizontal="right"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0" shrinkToFit="false"/>
      <protection locked="true" hidden="false"/>
    </xf>
    <xf numFmtId="164" fontId="36" fillId="0" borderId="1" xfId="0" applyFont="true" applyBorder="true" applyAlignment="true" applyProtection="false">
      <alignment horizontal="left" vertical="center" textRotation="0" wrapText="false" indent="0" shrinkToFit="false"/>
      <protection locked="true" hidden="false"/>
    </xf>
    <xf numFmtId="166" fontId="37" fillId="4" borderId="1" xfId="0" applyFont="true" applyBorder="true" applyAlignment="true" applyProtection="false">
      <alignment horizontal="right" vertical="center" textRotation="0" wrapText="false" indent="0" shrinkToFit="false"/>
      <protection locked="true" hidden="false"/>
    </xf>
    <xf numFmtId="166" fontId="21" fillId="0" borderId="1" xfId="0" applyFont="true" applyBorder="true" applyAlignment="true" applyProtection="false">
      <alignment horizontal="right" vertical="center" textRotation="0" wrapText="false" indent="0" shrinkToFit="false"/>
      <protection locked="true" hidden="false"/>
    </xf>
    <xf numFmtId="166" fontId="38" fillId="4" borderId="1" xfId="0" applyFont="true" applyBorder="true" applyAlignment="true" applyProtection="false">
      <alignment horizontal="right" vertical="center" textRotation="0" wrapText="false" indent="0" shrinkToFit="false"/>
      <protection locked="true" hidden="false"/>
    </xf>
    <xf numFmtId="164" fontId="22" fillId="4" borderId="1" xfId="0" applyFont="true" applyBorder="true" applyAlignment="true" applyProtection="false">
      <alignment horizontal="left" vertical="center" textRotation="0" wrapText="true" indent="0" shrinkToFit="false"/>
      <protection locked="true" hidden="false"/>
    </xf>
    <xf numFmtId="166" fontId="39" fillId="4" borderId="1" xfId="0" applyFont="true" applyBorder="true" applyAlignment="true" applyProtection="false">
      <alignment horizontal="right" vertical="center" textRotation="0" wrapText="false" indent="0" shrinkToFit="false"/>
      <protection locked="true" hidden="false"/>
    </xf>
    <xf numFmtId="164" fontId="40" fillId="2" borderId="1" xfId="0" applyFont="true" applyBorder="true" applyAlignment="true" applyProtection="false">
      <alignment horizontal="general" vertical="center" textRotation="0" wrapText="true" indent="0" shrinkToFit="false"/>
      <protection locked="true" hidden="false"/>
    </xf>
    <xf numFmtId="164" fontId="41" fillId="4" borderId="1" xfId="0" applyFont="true" applyBorder="true" applyAlignment="true" applyProtection="false">
      <alignment horizontal="center" vertical="center" textRotation="0" wrapText="false" indent="0" shrinkToFit="false"/>
      <protection locked="true" hidden="false"/>
    </xf>
    <xf numFmtId="164" fontId="42" fillId="0" borderId="1" xfId="0" applyFont="true" applyBorder="true" applyAlignment="true" applyProtection="false">
      <alignment horizontal="left" vertical="center" textRotation="0" wrapText="true" indent="0" shrinkToFit="false"/>
      <protection locked="true" hidden="false"/>
    </xf>
    <xf numFmtId="164" fontId="36" fillId="0" borderId="1" xfId="0" applyFont="true" applyBorder="true" applyAlignment="true" applyProtection="false">
      <alignment horizontal="left" vertical="center" textRotation="0" wrapText="true" indent="0" shrinkToFit="false"/>
      <protection locked="true" hidden="false"/>
    </xf>
    <xf numFmtId="164" fontId="45" fillId="0" borderId="1" xfId="0" applyFont="true" applyBorder="true" applyAlignment="true" applyProtection="false">
      <alignment horizontal="left" vertical="center" textRotation="0" wrapText="true" indent="0" shrinkToFit="false"/>
      <protection locked="true" hidden="false"/>
    </xf>
    <xf numFmtId="164" fontId="46" fillId="0" borderId="1" xfId="0" applyFont="true" applyBorder="true" applyAlignment="true" applyProtection="false">
      <alignment horizontal="left" vertical="center" textRotation="0" wrapText="true" indent="0" shrinkToFit="false"/>
      <protection locked="true" hidden="false"/>
    </xf>
    <xf numFmtId="164" fontId="25"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left" vertical="center" textRotation="0" wrapText="true" indent="0" shrinkToFit="false"/>
      <protection locked="true" hidden="false"/>
    </xf>
    <xf numFmtId="164" fontId="48"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64" fontId="51"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71" fontId="35" fillId="0" borderId="3" xfId="0" applyFont="true" applyBorder="true" applyAlignment="true" applyProtection="false">
      <alignment horizontal="general" vertical="center" textRotation="0" wrapText="true" indent="0" shrinkToFit="false"/>
      <protection locked="true" hidden="false"/>
    </xf>
    <xf numFmtId="171" fontId="53" fillId="0" borderId="3"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860B"/>
      <rgbColor rgb="FF800080"/>
      <rgbColor rgb="FF0E7A45"/>
      <rgbColor rgb="FFC0C0C0"/>
      <rgbColor rgb="FF808080"/>
      <rgbColor rgb="FF9999FF"/>
      <rgbColor rgb="FF993366"/>
      <rgbColor rgb="FFFFF8DC"/>
      <rgbColor rgb="FFEEF3F7"/>
      <rgbColor rgb="FF660066"/>
      <rgbColor rgb="FFFF8080"/>
      <rgbColor rgb="FF0066CC"/>
      <rgbColor rgb="FFC9D4DE"/>
      <rgbColor rgb="FF000080"/>
      <rgbColor rgb="FFFF00FF"/>
      <rgbColor rgb="FFFFFF00"/>
      <rgbColor rgb="FF00FFFF"/>
      <rgbColor rgb="FF800080"/>
      <rgbColor rgb="FF800000"/>
      <rgbColor rgb="FF008080"/>
      <rgbColor rgb="FF0000FF"/>
      <rgbColor rgb="FF00CCFF"/>
      <rgbColor rgb="FFDDE3E8"/>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111C29"/>
      <rgbColor rgb="FF333300"/>
      <rgbColor rgb="FFB0342C"/>
      <rgbColor rgb="FF993366"/>
      <rgbColor rgb="FF333399"/>
      <rgbColor rgb="FF1F304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4.35"/>
    <col collapsed="false" customWidth="true" hidden="false" outlineLevel="0" max="2" min="2" style="1" width="37"/>
    <col collapsed="false" customWidth="true" hidden="false" outlineLevel="0" max="3" min="3" style="1" width="67.47"/>
    <col collapsed="false" customWidth="true" hidden="false" outlineLevel="0" max="4" min="4" style="1" width="21.78"/>
  </cols>
  <sheetData>
    <row r="2" customFormat="false" ht="24" hidden="false" customHeight="true" outlineLevel="0" collapsed="false">
      <c r="A2" s="2" t="s">
        <v>0</v>
      </c>
    </row>
    <row r="3" customFormat="false" ht="15" hidden="false" customHeight="true" outlineLevel="0" collapsed="false">
      <c r="A3" s="3" t="s">
        <v>1</v>
      </c>
    </row>
    <row r="5" customFormat="false" ht="30" hidden="false" customHeight="true" outlineLevel="0" collapsed="false">
      <c r="A5" s="4"/>
      <c r="B5" s="4" t="s">
        <v>2</v>
      </c>
      <c r="C5" s="4" t="s">
        <v>3</v>
      </c>
      <c r="D5" s="4" t="s">
        <v>4</v>
      </c>
    </row>
    <row r="6" customFormat="false" ht="27.75" hidden="false" customHeight="true" outlineLevel="0" collapsed="false">
      <c r="A6" s="5" t="s">
        <v>5</v>
      </c>
      <c r="B6" s="6" t="s">
        <v>6</v>
      </c>
      <c r="C6" s="7" t="s">
        <v>7</v>
      </c>
      <c r="D6" s="8" t="s">
        <v>8</v>
      </c>
    </row>
    <row r="7" customFormat="false" ht="27.75" hidden="false" customHeight="true" outlineLevel="0" collapsed="false">
      <c r="A7" s="5"/>
      <c r="B7" s="6" t="s">
        <v>9</v>
      </c>
      <c r="C7" s="9" t="s">
        <v>10</v>
      </c>
      <c r="D7" s="10" t="s">
        <v>11</v>
      </c>
    </row>
    <row r="8" customFormat="false" ht="27.75" hidden="false" customHeight="true" outlineLevel="0" collapsed="false">
      <c r="A8" s="5"/>
      <c r="B8" s="6" t="s">
        <v>12</v>
      </c>
      <c r="C8" s="9" t="s">
        <v>13</v>
      </c>
      <c r="D8" s="10" t="s">
        <v>11</v>
      </c>
    </row>
    <row r="9" customFormat="false" ht="27.75" hidden="false" customHeight="true" outlineLevel="0" collapsed="false">
      <c r="A9" s="5"/>
      <c r="B9" s="6" t="s">
        <v>14</v>
      </c>
      <c r="C9" s="7" t="s">
        <v>15</v>
      </c>
      <c r="D9" s="11" t="s">
        <v>16</v>
      </c>
    </row>
    <row r="10" customFormat="false" ht="27.75" hidden="false" customHeight="true" outlineLevel="0" collapsed="false">
      <c r="A10" s="5"/>
      <c r="B10" s="6" t="s">
        <v>17</v>
      </c>
      <c r="C10" s="7" t="s">
        <v>18</v>
      </c>
      <c r="D10" s="11" t="s">
        <v>16</v>
      </c>
    </row>
    <row r="11" customFormat="false" ht="27.75" hidden="false" customHeight="true" outlineLevel="0" collapsed="false">
      <c r="A11" s="5"/>
      <c r="B11" s="6" t="s">
        <v>19</v>
      </c>
      <c r="C11" s="9" t="s">
        <v>20</v>
      </c>
      <c r="D11" s="10" t="s">
        <v>11</v>
      </c>
    </row>
    <row r="12" customFormat="false" ht="27.75" hidden="false" customHeight="true" outlineLevel="0" collapsed="false">
      <c r="A12" s="5"/>
      <c r="B12" s="6" t="s">
        <v>21</v>
      </c>
      <c r="C12" s="7" t="s">
        <v>22</v>
      </c>
      <c r="D12" s="10" t="s">
        <v>11</v>
      </c>
    </row>
    <row r="13" customFormat="false" ht="27.75" hidden="false" customHeight="true" outlineLevel="0" collapsed="false">
      <c r="A13" s="5"/>
      <c r="B13" s="6" t="s">
        <v>23</v>
      </c>
      <c r="C13" s="7" t="s">
        <v>24</v>
      </c>
      <c r="D13" s="10" t="s">
        <v>11</v>
      </c>
    </row>
    <row r="14" customFormat="false" ht="27.75" hidden="false" customHeight="true" outlineLevel="0" collapsed="false">
      <c r="A14" s="5" t="s">
        <v>25</v>
      </c>
      <c r="B14" s="6" t="s">
        <v>26</v>
      </c>
      <c r="C14" s="7" t="s">
        <v>27</v>
      </c>
      <c r="D14" s="11" t="s">
        <v>16</v>
      </c>
    </row>
    <row r="15" customFormat="false" ht="27.75" hidden="false" customHeight="true" outlineLevel="0" collapsed="false">
      <c r="A15" s="5"/>
      <c r="B15" s="6" t="s">
        <v>28</v>
      </c>
      <c r="C15" s="7" t="s">
        <v>29</v>
      </c>
      <c r="D15" s="11" t="s">
        <v>16</v>
      </c>
    </row>
    <row r="16" customFormat="false" ht="27.75" hidden="false" customHeight="true" outlineLevel="0" collapsed="false">
      <c r="A16" s="5"/>
      <c r="B16" s="6" t="s">
        <v>30</v>
      </c>
      <c r="C16" s="9" t="s">
        <v>31</v>
      </c>
      <c r="D16" s="11" t="s">
        <v>16</v>
      </c>
    </row>
    <row r="17" customFormat="false" ht="27.75" hidden="false" customHeight="true" outlineLevel="0" collapsed="false">
      <c r="A17" s="5"/>
      <c r="B17" s="6" t="s">
        <v>32</v>
      </c>
      <c r="C17" s="7" t="s">
        <v>33</v>
      </c>
      <c r="D17" s="11" t="s">
        <v>16</v>
      </c>
    </row>
    <row r="18" customFormat="false" ht="27.75" hidden="false" customHeight="true" outlineLevel="0" collapsed="false">
      <c r="A18" s="5"/>
      <c r="B18" s="6" t="s">
        <v>34</v>
      </c>
      <c r="C18" s="7" t="s">
        <v>35</v>
      </c>
      <c r="D18" s="11" t="s">
        <v>16</v>
      </c>
    </row>
    <row r="19" customFormat="false" ht="27.75" hidden="false" customHeight="true" outlineLevel="0" collapsed="false">
      <c r="A19" s="5" t="s">
        <v>36</v>
      </c>
      <c r="B19" s="6" t="s">
        <v>37</v>
      </c>
      <c r="C19" s="7" t="s">
        <v>38</v>
      </c>
      <c r="D19" s="12" t="s">
        <v>39</v>
      </c>
    </row>
    <row r="20" customFormat="false" ht="27.75" hidden="false" customHeight="true" outlineLevel="0" collapsed="false">
      <c r="A20" s="5"/>
      <c r="B20" s="6" t="s">
        <v>40</v>
      </c>
      <c r="C20" s="7" t="s">
        <v>41</v>
      </c>
      <c r="D20" s="12" t="s">
        <v>39</v>
      </c>
    </row>
    <row r="22" customFormat="false" ht="24" hidden="false" customHeight="true" outlineLevel="0" collapsed="false">
      <c r="A22" s="2" t="s">
        <v>42</v>
      </c>
    </row>
    <row r="24" customFormat="false" ht="18.75" hidden="false" customHeight="true" outlineLevel="0" collapsed="false">
      <c r="B24" s="13" t="s">
        <v>43</v>
      </c>
      <c r="C24" s="14" t="s">
        <v>44</v>
      </c>
    </row>
    <row r="25" customFormat="false" ht="18.75" hidden="false" customHeight="true" outlineLevel="0" collapsed="false">
      <c r="B25" s="14" t="s">
        <v>43</v>
      </c>
      <c r="C25" s="14" t="s">
        <v>45</v>
      </c>
    </row>
    <row r="26" customFormat="false" ht="18.75" hidden="false" customHeight="true" outlineLevel="0" collapsed="false">
      <c r="B26" s="15" t="s">
        <v>43</v>
      </c>
      <c r="C26" s="14" t="s">
        <v>46</v>
      </c>
    </row>
    <row r="27" customFormat="false" ht="18.75" hidden="false" customHeight="true" outlineLevel="0" collapsed="false">
      <c r="B27" s="16" t="s">
        <v>43</v>
      </c>
      <c r="C27" s="14" t="s">
        <v>47</v>
      </c>
    </row>
    <row r="28" customFormat="false" ht="18.75" hidden="false" customHeight="true" outlineLevel="0" collapsed="false">
      <c r="B28" s="15" t="s">
        <v>43</v>
      </c>
      <c r="C28" s="17"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8.3"/>
    <col collapsed="false" customWidth="true" hidden="false" outlineLevel="0" max="3" min="2" style="1" width="50.06"/>
  </cols>
  <sheetData>
    <row r="2" customFormat="false" ht="24" hidden="false" customHeight="true" outlineLevel="0" collapsed="false">
      <c r="A2" s="2" t="s">
        <v>34</v>
      </c>
    </row>
    <row r="3" customFormat="false" ht="15" hidden="false" customHeight="true" outlineLevel="0" collapsed="false">
      <c r="A3" s="18" t="s">
        <v>49</v>
      </c>
    </row>
    <row r="5" customFormat="false" ht="30" hidden="false" customHeight="true" outlineLevel="0" collapsed="false">
      <c r="A5" s="4" t="s">
        <v>50</v>
      </c>
      <c r="B5" s="4" t="s">
        <v>51</v>
      </c>
      <c r="C5" s="4" t="s">
        <v>52</v>
      </c>
    </row>
    <row r="6" customFormat="false" ht="30" hidden="false" customHeight="true" outlineLevel="0" collapsed="false">
      <c r="A6" s="19" t="s">
        <v>53</v>
      </c>
      <c r="B6" s="20" t="s">
        <v>54</v>
      </c>
      <c r="C6" s="21" t="s">
        <v>55</v>
      </c>
    </row>
    <row r="7" customFormat="false" ht="30" hidden="false" customHeight="true" outlineLevel="0" collapsed="false">
      <c r="A7" s="19" t="s">
        <v>56</v>
      </c>
      <c r="B7" s="20" t="s">
        <v>57</v>
      </c>
      <c r="C7" s="21" t="s">
        <v>58</v>
      </c>
    </row>
    <row r="8" customFormat="false" ht="30" hidden="false" customHeight="true" outlineLevel="0" collapsed="false">
      <c r="A8" s="19" t="s">
        <v>59</v>
      </c>
      <c r="B8" s="20" t="s">
        <v>60</v>
      </c>
      <c r="C8" s="21" t="s">
        <v>61</v>
      </c>
    </row>
    <row r="9" customFormat="false" ht="30" hidden="false" customHeight="true" outlineLevel="0" collapsed="false">
      <c r="A9" s="19" t="s">
        <v>62</v>
      </c>
      <c r="B9" s="20" t="s">
        <v>63</v>
      </c>
      <c r="C9" s="21" t="s">
        <v>64</v>
      </c>
    </row>
    <row r="10" customFormat="false" ht="30" hidden="false" customHeight="true" outlineLevel="0" collapsed="false">
      <c r="A10" s="19" t="s">
        <v>65</v>
      </c>
      <c r="B10" s="20" t="s">
        <v>66</v>
      </c>
      <c r="C10" s="21" t="s">
        <v>67</v>
      </c>
    </row>
    <row r="11" customFormat="false" ht="30" hidden="false" customHeight="true" outlineLevel="0" collapsed="false">
      <c r="A11" s="19" t="s">
        <v>68</v>
      </c>
      <c r="B11" s="20" t="s">
        <v>69</v>
      </c>
      <c r="C11" s="21" t="s">
        <v>70</v>
      </c>
    </row>
    <row r="12" customFormat="false" ht="30" hidden="false" customHeight="true" outlineLevel="0" collapsed="false">
      <c r="A12" s="19" t="s">
        <v>71</v>
      </c>
      <c r="B12" s="22" t="s">
        <v>72</v>
      </c>
      <c r="C12" s="21" t="s">
        <v>73</v>
      </c>
    </row>
    <row r="13" customFormat="false" ht="30" hidden="false" customHeight="true" outlineLevel="0" collapsed="false">
      <c r="A13" s="19" t="s">
        <v>74</v>
      </c>
      <c r="B13" s="20" t="s">
        <v>75</v>
      </c>
      <c r="C13" s="21" t="s">
        <v>76</v>
      </c>
    </row>
    <row r="14" customFormat="false" ht="30" hidden="false" customHeight="true" outlineLevel="0" collapsed="false">
      <c r="A14" s="19" t="s">
        <v>77</v>
      </c>
      <c r="B14" s="22" t="s">
        <v>78</v>
      </c>
      <c r="C14" s="21" t="s">
        <v>79</v>
      </c>
    </row>
    <row r="15" customFormat="false" ht="30" hidden="false" customHeight="true" outlineLevel="0" collapsed="false">
      <c r="A15" s="19" t="s">
        <v>80</v>
      </c>
      <c r="B15" s="22" t="s">
        <v>81</v>
      </c>
      <c r="C15" s="23" t="s">
        <v>82</v>
      </c>
    </row>
    <row r="16" customFormat="false" ht="30" hidden="false" customHeight="true" outlineLevel="0" collapsed="false">
      <c r="A16" s="19" t="s">
        <v>83</v>
      </c>
      <c r="B16" s="20" t="s">
        <v>84</v>
      </c>
      <c r="C16" s="21" t="s">
        <v>85</v>
      </c>
    </row>
    <row r="17" customFormat="false" ht="30" hidden="false" customHeight="true" outlineLevel="0" collapsed="false">
      <c r="A17" s="19" t="s">
        <v>86</v>
      </c>
      <c r="B17" s="20" t="s">
        <v>87</v>
      </c>
      <c r="C17" s="21" t="s">
        <v>88</v>
      </c>
    </row>
    <row r="18" customFormat="false" ht="30" hidden="false" customHeight="true" outlineLevel="0" collapsed="false">
      <c r="A18" s="19" t="s">
        <v>89</v>
      </c>
      <c r="B18" s="22" t="s">
        <v>90</v>
      </c>
      <c r="C18" s="21" t="s">
        <v>91</v>
      </c>
    </row>
    <row r="20" customFormat="false" ht="27.75" hidden="false" customHeight="true" outlineLevel="0" collapsed="false">
      <c r="A20" s="24"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860B"/>
    <pageSetUpPr fitToPage="false"/>
  </sheetPr>
  <dimension ref="A2:E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6.53"/>
    <col collapsed="false" customWidth="true" hidden="false" outlineLevel="0" max="2" min="2" style="1" width="32.65"/>
    <col collapsed="false" customWidth="true" hidden="false" outlineLevel="0" max="3" min="3" style="1" width="17.41"/>
    <col collapsed="false" customWidth="true" hidden="false" outlineLevel="0" max="4" min="4" style="1" width="15.22"/>
    <col collapsed="false" customWidth="true" hidden="false" outlineLevel="0" max="5" min="5" style="1" width="56.59"/>
  </cols>
  <sheetData>
    <row r="2" customFormat="false" ht="24" hidden="false" customHeight="true" outlineLevel="0" collapsed="false">
      <c r="A2" s="2" t="s">
        <v>93</v>
      </c>
    </row>
    <row r="3" customFormat="false" ht="15" hidden="false" customHeight="true" outlineLevel="0" collapsed="false">
      <c r="A3" s="18" t="s">
        <v>94</v>
      </c>
    </row>
    <row r="5" customFormat="false" ht="30" hidden="false" customHeight="true" outlineLevel="0" collapsed="false">
      <c r="A5" s="4"/>
      <c r="B5" s="4" t="s">
        <v>50</v>
      </c>
      <c r="C5" s="4" t="s">
        <v>95</v>
      </c>
      <c r="D5" s="4" t="s">
        <v>96</v>
      </c>
      <c r="E5" s="4" t="s">
        <v>97</v>
      </c>
    </row>
    <row r="6" customFormat="false" ht="21.75" hidden="false" customHeight="true" outlineLevel="0" collapsed="false">
      <c r="B6" s="25" t="s">
        <v>98</v>
      </c>
      <c r="C6" s="26"/>
      <c r="D6" s="26"/>
      <c r="E6" s="26"/>
    </row>
    <row r="7" customFormat="false" ht="25.5" hidden="false" customHeight="true" outlineLevel="0" collapsed="false">
      <c r="B7" s="6" t="s">
        <v>99</v>
      </c>
      <c r="C7" s="27" t="n">
        <v>79800</v>
      </c>
      <c r="D7" s="28" t="s">
        <v>100</v>
      </c>
      <c r="E7" s="23" t="s">
        <v>101</v>
      </c>
    </row>
    <row r="8" customFormat="false" ht="25.5" hidden="false" customHeight="true" outlineLevel="0" collapsed="false">
      <c r="B8" s="6" t="s">
        <v>102</v>
      </c>
      <c r="C8" s="27" t="n">
        <v>198000</v>
      </c>
      <c r="D8" s="28" t="s">
        <v>100</v>
      </c>
      <c r="E8" s="21" t="s">
        <v>103</v>
      </c>
    </row>
    <row r="9" customFormat="false" ht="25.5" hidden="false" customHeight="true" outlineLevel="0" collapsed="false">
      <c r="B9" s="6" t="s">
        <v>104</v>
      </c>
      <c r="C9" s="27" t="n">
        <v>398000</v>
      </c>
      <c r="D9" s="28" t="s">
        <v>100</v>
      </c>
      <c r="E9" s="21" t="s">
        <v>105</v>
      </c>
    </row>
    <row r="10" customFormat="false" ht="25.5" hidden="false" customHeight="true" outlineLevel="0" collapsed="false">
      <c r="B10" s="6"/>
      <c r="C10" s="29"/>
      <c r="D10" s="28"/>
      <c r="E10" s="21"/>
    </row>
    <row r="11" customFormat="false" ht="21.75" hidden="false" customHeight="true" outlineLevel="0" collapsed="false">
      <c r="B11" s="25" t="s">
        <v>106</v>
      </c>
      <c r="C11" s="26"/>
      <c r="D11" s="26"/>
      <c r="E11" s="26"/>
    </row>
    <row r="12" customFormat="false" ht="25.5" hidden="false" customHeight="true" outlineLevel="0" collapsed="false">
      <c r="B12" s="6" t="s">
        <v>107</v>
      </c>
      <c r="C12" s="30" t="n">
        <v>0.5</v>
      </c>
      <c r="D12" s="28" t="s">
        <v>108</v>
      </c>
      <c r="E12" s="21" t="s">
        <v>109</v>
      </c>
    </row>
    <row r="13" customFormat="false" ht="25.5" hidden="false" customHeight="true" outlineLevel="0" collapsed="false">
      <c r="B13" s="6" t="s">
        <v>110</v>
      </c>
      <c r="C13" s="27" t="n">
        <v>30</v>
      </c>
      <c r="D13" s="28" t="s">
        <v>111</v>
      </c>
      <c r="E13" s="21" t="s">
        <v>112</v>
      </c>
    </row>
    <row r="14" customFormat="false" ht="25.5" hidden="false" customHeight="true" outlineLevel="0" collapsed="false">
      <c r="B14" s="6" t="s">
        <v>113</v>
      </c>
      <c r="C14" s="27" t="n">
        <v>90</v>
      </c>
      <c r="D14" s="28" t="s">
        <v>111</v>
      </c>
      <c r="E14" s="21" t="s">
        <v>114</v>
      </c>
    </row>
    <row r="15" customFormat="false" ht="25.5" hidden="false" customHeight="true" outlineLevel="0" collapsed="false">
      <c r="B15" s="6" t="s">
        <v>115</v>
      </c>
      <c r="C15" s="27" t="n">
        <v>30</v>
      </c>
      <c r="D15" s="28" t="s">
        <v>111</v>
      </c>
      <c r="E15" s="21" t="s">
        <v>116</v>
      </c>
    </row>
    <row r="16" customFormat="false" ht="25.5" hidden="false" customHeight="true" outlineLevel="0" collapsed="false">
      <c r="B16" s="6" t="s">
        <v>117</v>
      </c>
      <c r="C16" s="27" t="n">
        <v>3500</v>
      </c>
      <c r="D16" s="28" t="s">
        <v>118</v>
      </c>
      <c r="E16" s="21" t="s">
        <v>119</v>
      </c>
    </row>
    <row r="17" customFormat="false" ht="25.5" hidden="false" customHeight="true" outlineLevel="0" collapsed="false">
      <c r="B17" s="6" t="s">
        <v>120</v>
      </c>
      <c r="C17" s="30" t="n">
        <v>0.1</v>
      </c>
      <c r="D17" s="28" t="s">
        <v>108</v>
      </c>
      <c r="E17" s="21" t="s">
        <v>121</v>
      </c>
    </row>
    <row r="18" customFormat="false" ht="25.5" hidden="false" customHeight="true" outlineLevel="0" collapsed="false">
      <c r="B18" s="6" t="s">
        <v>122</v>
      </c>
      <c r="C18" s="27" t="n">
        <v>12</v>
      </c>
      <c r="D18" s="28" t="s">
        <v>123</v>
      </c>
      <c r="E18" s="21" t="s">
        <v>124</v>
      </c>
    </row>
    <row r="19" customFormat="false" ht="21.75" hidden="false" customHeight="true" outlineLevel="0" collapsed="false">
      <c r="B19" s="25" t="s">
        <v>125</v>
      </c>
      <c r="C19" s="26"/>
      <c r="D19" s="26"/>
      <c r="E19" s="26"/>
    </row>
    <row r="20" customFormat="false" ht="25.5" hidden="false" customHeight="true" outlineLevel="0" collapsed="false">
      <c r="B20" s="6" t="s">
        <v>126</v>
      </c>
      <c r="C20" s="27" t="n">
        <v>4800</v>
      </c>
      <c r="D20" s="28" t="s">
        <v>118</v>
      </c>
      <c r="E20" s="21" t="s">
        <v>127</v>
      </c>
    </row>
    <row r="21" customFormat="false" ht="25.5" hidden="false" customHeight="true" outlineLevel="0" collapsed="false">
      <c r="B21" s="6" t="s">
        <v>128</v>
      </c>
      <c r="C21" s="27" t="n">
        <v>9800</v>
      </c>
      <c r="D21" s="28" t="s">
        <v>118</v>
      </c>
      <c r="E21" s="21" t="s">
        <v>129</v>
      </c>
    </row>
    <row r="22" customFormat="false" ht="25.5" hidden="false" customHeight="true" outlineLevel="0" collapsed="false">
      <c r="B22" s="6" t="s">
        <v>130</v>
      </c>
      <c r="C22" s="27" t="n">
        <v>29800</v>
      </c>
      <c r="D22" s="28" t="s">
        <v>118</v>
      </c>
      <c r="E22" s="21" t="s">
        <v>131</v>
      </c>
    </row>
    <row r="23" customFormat="false" ht="25.5" hidden="false" customHeight="true" outlineLevel="0" collapsed="false">
      <c r="B23" s="6" t="s">
        <v>132</v>
      </c>
      <c r="C23" s="27" t="n">
        <v>0</v>
      </c>
      <c r="D23" s="28" t="s">
        <v>118</v>
      </c>
      <c r="E23" s="21" t="s">
        <v>133</v>
      </c>
    </row>
    <row r="24" customFormat="false" ht="21.75" hidden="false" customHeight="true" outlineLevel="0" collapsed="false">
      <c r="B24" s="25" t="s">
        <v>134</v>
      </c>
      <c r="C24" s="26"/>
      <c r="D24" s="26"/>
      <c r="E24" s="26"/>
    </row>
    <row r="25" customFormat="false" ht="25.5" hidden="false" customHeight="true" outlineLevel="0" collapsed="false">
      <c r="B25" s="6" t="s">
        <v>135</v>
      </c>
      <c r="C25" s="27" t="n">
        <v>36</v>
      </c>
      <c r="D25" s="28" t="s">
        <v>123</v>
      </c>
      <c r="E25" s="21" t="s">
        <v>136</v>
      </c>
    </row>
    <row r="26" customFormat="false" ht="25.5" hidden="false" customHeight="true" outlineLevel="0" collapsed="false">
      <c r="B26" s="6" t="s">
        <v>137</v>
      </c>
      <c r="C26" s="29" t="n">
        <v>9800</v>
      </c>
      <c r="D26" s="28" t="s">
        <v>100</v>
      </c>
      <c r="E26" s="21" t="s">
        <v>138</v>
      </c>
    </row>
    <row r="27" customFormat="false" ht="25.5" hidden="false" customHeight="true" outlineLevel="0" collapsed="false">
      <c r="B27" s="6" t="s">
        <v>139</v>
      </c>
      <c r="C27" s="29" t="n">
        <v>14800</v>
      </c>
      <c r="D27" s="28" t="s">
        <v>100</v>
      </c>
      <c r="E27" s="21" t="s">
        <v>138</v>
      </c>
    </row>
    <row r="28" customFormat="false" ht="25.5" hidden="false" customHeight="true" outlineLevel="0" collapsed="false">
      <c r="B28" s="6" t="s">
        <v>140</v>
      </c>
      <c r="C28" s="29" t="n">
        <v>19800</v>
      </c>
      <c r="D28" s="28" t="s">
        <v>100</v>
      </c>
      <c r="E28" s="21" t="s">
        <v>138</v>
      </c>
    </row>
    <row r="29" customFormat="false" ht="25.5" hidden="false" customHeight="true" outlineLevel="0" collapsed="false">
      <c r="B29" s="6" t="s">
        <v>141</v>
      </c>
      <c r="C29" s="29" t="n">
        <v>5000</v>
      </c>
      <c r="D29" s="28" t="s">
        <v>100</v>
      </c>
      <c r="E29" s="21" t="s">
        <v>138</v>
      </c>
    </row>
    <row r="30" customFormat="false" ht="21.75" hidden="false" customHeight="true" outlineLevel="0" collapsed="false">
      <c r="B30" s="25" t="s">
        <v>142</v>
      </c>
      <c r="C30" s="26"/>
      <c r="D30" s="26"/>
      <c r="E30" s="26"/>
    </row>
    <row r="31" customFormat="false" ht="25.5" hidden="false" customHeight="true" outlineLevel="0" collapsed="false">
      <c r="B31" s="6" t="s">
        <v>143</v>
      </c>
      <c r="C31" s="31" t="n">
        <v>0.666666666666667</v>
      </c>
      <c r="D31" s="28" t="s">
        <v>144</v>
      </c>
      <c r="E31" s="23" t="s">
        <v>145</v>
      </c>
    </row>
    <row r="32" customFormat="false" ht="25.5" hidden="false" customHeight="true" outlineLevel="0" collapsed="false">
      <c r="B32" s="6" t="s">
        <v>146</v>
      </c>
      <c r="C32" s="29" t="n">
        <v>500000</v>
      </c>
      <c r="D32" s="28" t="s">
        <v>100</v>
      </c>
      <c r="E32" s="21" t="s">
        <v>147</v>
      </c>
    </row>
    <row r="33" customFormat="false" ht="25.5" hidden="false" customHeight="true" outlineLevel="0" collapsed="false">
      <c r="B33" s="6" t="s">
        <v>148</v>
      </c>
      <c r="C33" s="29" t="n">
        <v>300000</v>
      </c>
      <c r="D33" s="28" t="s">
        <v>100</v>
      </c>
      <c r="E33" s="21" t="s">
        <v>149</v>
      </c>
    </row>
    <row r="34" customFormat="false" ht="21.75" hidden="false" customHeight="true" outlineLevel="0" collapsed="false">
      <c r="B34" s="25" t="s">
        <v>150</v>
      </c>
      <c r="C34" s="26"/>
      <c r="D34" s="26"/>
      <c r="E34" s="26"/>
    </row>
    <row r="35" customFormat="false" ht="25.5" hidden="false" customHeight="true" outlineLevel="0" collapsed="false">
      <c r="B35" s="6" t="s">
        <v>151</v>
      </c>
      <c r="C35" s="29" t="n">
        <v>110000</v>
      </c>
      <c r="D35" s="28" t="s">
        <v>100</v>
      </c>
      <c r="E35" s="21" t="s">
        <v>152</v>
      </c>
    </row>
    <row r="36" customFormat="false" ht="25.5" hidden="false" customHeight="true" outlineLevel="0" collapsed="false">
      <c r="B36" s="6" t="s">
        <v>153</v>
      </c>
      <c r="C36" s="29" t="n">
        <v>55000</v>
      </c>
      <c r="D36" s="28" t="s">
        <v>100</v>
      </c>
      <c r="E36" s="21" t="s">
        <v>152</v>
      </c>
    </row>
    <row r="37" customFormat="false" ht="25.5" hidden="false" customHeight="true" outlineLevel="0" collapsed="false">
      <c r="B37" s="6" t="s">
        <v>154</v>
      </c>
      <c r="C37" s="29" t="n">
        <v>27500</v>
      </c>
      <c r="D37" s="28" t="s">
        <v>100</v>
      </c>
      <c r="E37" s="21" t="s">
        <v>152</v>
      </c>
    </row>
    <row r="38" customFormat="false" ht="25.5" hidden="false" customHeight="true" outlineLevel="0" collapsed="false">
      <c r="B38" s="6" t="s">
        <v>155</v>
      </c>
      <c r="C38" s="29" t="n">
        <v>11000</v>
      </c>
      <c r="D38" s="28" t="s">
        <v>100</v>
      </c>
      <c r="E38" s="21" t="s">
        <v>152</v>
      </c>
    </row>
    <row r="39" customFormat="false" ht="25.5" hidden="false" customHeight="true" outlineLevel="0" collapsed="false">
      <c r="B39" s="6" t="s">
        <v>156</v>
      </c>
      <c r="C39" s="29" t="n">
        <v>0</v>
      </c>
      <c r="D39" s="28" t="s">
        <v>100</v>
      </c>
      <c r="E39" s="21" t="s">
        <v>152</v>
      </c>
    </row>
    <row r="40" customFormat="false" ht="25.5" hidden="false" customHeight="true" outlineLevel="0" collapsed="false">
      <c r="B40" s="6" t="s">
        <v>157</v>
      </c>
      <c r="C40" s="29" t="n">
        <v>220</v>
      </c>
      <c r="D40" s="28" t="s">
        <v>100</v>
      </c>
      <c r="E40" s="23" t="s">
        <v>158</v>
      </c>
    </row>
    <row r="41" customFormat="false" ht="25.5" hidden="false" customHeight="true" outlineLevel="0" collapsed="false">
      <c r="B41" s="6" t="s">
        <v>159</v>
      </c>
      <c r="C41" s="29" t="n">
        <v>110</v>
      </c>
      <c r="D41" s="28" t="s">
        <v>100</v>
      </c>
      <c r="E41" s="23" t="s">
        <v>160</v>
      </c>
    </row>
    <row r="43" customFormat="false" ht="27.75" hidden="false" customHeight="true" outlineLevel="0" collapsed="false">
      <c r="A43" s="24" t="s">
        <v>161</v>
      </c>
    </row>
    <row r="45" customFormat="false" ht="27.75" hidden="false" customHeight="true" outlineLevel="0" collapsed="false">
      <c r="B45" s="6" t="s">
        <v>162</v>
      </c>
      <c r="C45" s="27" t="n">
        <v>140</v>
      </c>
      <c r="E45" s="21" t="s">
        <v>163</v>
      </c>
    </row>
    <row r="46" customFormat="false" ht="27.75" hidden="false" customHeight="true" outlineLevel="0" collapsed="false">
      <c r="B46" s="6" t="s">
        <v>164</v>
      </c>
      <c r="C46" s="27" t="n">
        <v>28</v>
      </c>
      <c r="E46" s="21" t="s">
        <v>165</v>
      </c>
    </row>
    <row r="47" customFormat="false" ht="27.75" hidden="false" customHeight="true" outlineLevel="0" collapsed="false">
      <c r="B47" s="6" t="s">
        <v>166</v>
      </c>
      <c r="C47" s="27" t="n">
        <v>28</v>
      </c>
      <c r="E47" s="21" t="s">
        <v>165</v>
      </c>
    </row>
    <row r="48" customFormat="false" ht="27.75" hidden="false" customHeight="true" outlineLevel="0" collapsed="false">
      <c r="B48" s="6" t="s">
        <v>167</v>
      </c>
      <c r="C48" s="27" t="n">
        <v>5000</v>
      </c>
      <c r="E48" s="21" t="s">
        <v>168</v>
      </c>
    </row>
    <row r="49" customFormat="false" ht="27.75" hidden="false" customHeight="true" outlineLevel="0" collapsed="false">
      <c r="B49" s="6" t="s">
        <v>169</v>
      </c>
      <c r="C49" s="27" t="n">
        <v>15</v>
      </c>
      <c r="E49" s="21" t="s">
        <v>170</v>
      </c>
    </row>
    <row r="50" customFormat="false" ht="27.75" hidden="false" customHeight="true" outlineLevel="0" collapsed="false">
      <c r="B50" s="6" t="s">
        <v>171</v>
      </c>
      <c r="C50" s="27" t="n">
        <v>26</v>
      </c>
      <c r="E50" s="21" t="s">
        <v>172</v>
      </c>
    </row>
    <row r="51" customFormat="false" ht="27.75" hidden="false" customHeight="true" outlineLevel="0" collapsed="false">
      <c r="B51" s="6" t="s">
        <v>173</v>
      </c>
      <c r="C51" s="32" t="n">
        <v>0.3</v>
      </c>
      <c r="E51" s="21" t="s">
        <v>170</v>
      </c>
    </row>
    <row r="52" customFormat="false" ht="27.75" hidden="false" customHeight="true" outlineLevel="0" collapsed="false">
      <c r="B52" s="6" t="s">
        <v>174</v>
      </c>
      <c r="C52" s="32" t="n">
        <v>0.75</v>
      </c>
      <c r="E52" s="21" t="s">
        <v>170</v>
      </c>
    </row>
    <row r="53" customFormat="false" ht="27.75" hidden="false" customHeight="true" outlineLevel="0" collapsed="false">
      <c r="B53" s="6" t="s">
        <v>175</v>
      </c>
      <c r="C53" s="27" t="n">
        <v>2.25</v>
      </c>
      <c r="E53" s="21" t="s">
        <v>170</v>
      </c>
    </row>
    <row r="54" customFormat="false" ht="27.75" hidden="false" customHeight="true" outlineLevel="0" collapsed="false">
      <c r="B54" s="6" t="s">
        <v>176</v>
      </c>
      <c r="C54" s="27" t="n">
        <v>10</v>
      </c>
      <c r="E54" s="21" t="s">
        <v>177</v>
      </c>
    </row>
    <row r="55" customFormat="false" ht="27.75" hidden="false" customHeight="true" outlineLevel="0" collapsed="false">
      <c r="B55" s="6" t="s">
        <v>178</v>
      </c>
      <c r="C55" s="27" t="n">
        <v>16</v>
      </c>
      <c r="E55" s="21" t="s">
        <v>177</v>
      </c>
    </row>
    <row r="56" customFormat="false" ht="27.75" hidden="false" customHeight="true" outlineLevel="0" collapsed="false">
      <c r="B56" s="6" t="s">
        <v>179</v>
      </c>
      <c r="C56" s="27" t="n">
        <v>6</v>
      </c>
      <c r="E56" s="21" t="s">
        <v>177</v>
      </c>
    </row>
    <row r="57" customFormat="false" ht="27.75" hidden="false" customHeight="true" outlineLevel="0" collapsed="false">
      <c r="B57" s="6" t="s">
        <v>180</v>
      </c>
      <c r="C57" s="32" t="n">
        <v>0.25</v>
      </c>
      <c r="E57" s="21" t="s">
        <v>181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7.21"/>
    <col collapsed="false" customWidth="true" hidden="false" outlineLevel="0" max="3" min="2" style="1" width="13.06"/>
    <col collapsed="false" customWidth="true" hidden="false" outlineLevel="0" max="6" min="4" style="1" width="17.41"/>
    <col collapsed="false" customWidth="true" hidden="false" outlineLevel="0" max="7" min="7" style="1" width="65.3"/>
  </cols>
  <sheetData>
    <row r="2" customFormat="false" ht="31.5" hidden="false" customHeight="true" outlineLevel="0" collapsed="false">
      <c r="A2" s="33" t="s">
        <v>182</v>
      </c>
      <c r="B2" s="33"/>
      <c r="C2" s="33"/>
      <c r="D2" s="33"/>
      <c r="E2" s="33"/>
      <c r="F2" s="33"/>
      <c r="G2" s="33"/>
    </row>
    <row r="3" customFormat="false" ht="48" hidden="false" customHeight="true" outlineLevel="0" collapsed="false">
      <c r="A3" s="34" t="s">
        <v>183</v>
      </c>
      <c r="B3" s="34"/>
      <c r="C3" s="34"/>
      <c r="D3" s="34"/>
      <c r="E3" s="34"/>
      <c r="F3" s="34"/>
      <c r="G3" s="34"/>
    </row>
    <row r="5" customFormat="false" ht="15" hidden="false" customHeight="true" outlineLevel="0" collapsed="false">
      <c r="A5" s="4" t="s">
        <v>184</v>
      </c>
      <c r="B5" s="4" t="s">
        <v>185</v>
      </c>
      <c r="C5" s="4" t="s">
        <v>186</v>
      </c>
      <c r="D5" s="4" t="s">
        <v>187</v>
      </c>
      <c r="E5" s="4" t="s">
        <v>188</v>
      </c>
      <c r="F5" s="4" t="s">
        <v>189</v>
      </c>
      <c r="G5" s="4" t="s">
        <v>190</v>
      </c>
    </row>
    <row r="6" customFormat="false" ht="63.75" hidden="false" customHeight="true" outlineLevel="0" collapsed="false">
      <c r="A6" s="35" t="s">
        <v>99</v>
      </c>
      <c r="B6" s="36" t="n">
        <v>1</v>
      </c>
      <c r="C6" s="36" t="n">
        <v>2</v>
      </c>
      <c r="D6" s="37" t="n">
        <f aca="false">料金レバー!$C$7</f>
        <v>79800</v>
      </c>
      <c r="E6" s="37" t="n">
        <f aca="false">ROUNDDOWN(D6*料金レバー!$C$12,0)</f>
        <v>39900</v>
      </c>
      <c r="F6" s="37" t="n">
        <f aca="false">D6-E6</f>
        <v>39900</v>
      </c>
      <c r="G6" s="35" t="s">
        <v>191</v>
      </c>
    </row>
    <row r="7" customFormat="false" ht="63.75" hidden="false" customHeight="true" outlineLevel="0" collapsed="false">
      <c r="A7" s="35" t="s">
        <v>102</v>
      </c>
      <c r="B7" s="36" t="n">
        <v>6</v>
      </c>
      <c r="C7" s="36" t="n">
        <v>4</v>
      </c>
      <c r="D7" s="37" t="n">
        <f aca="false">料金レバー!$C$8</f>
        <v>198000</v>
      </c>
      <c r="E7" s="37" t="n">
        <f aca="false">ROUNDDOWN(D7*料金レバー!$C$12,0)</f>
        <v>99000</v>
      </c>
      <c r="F7" s="37" t="n">
        <f aca="false">D7-E7</f>
        <v>99000</v>
      </c>
      <c r="G7" s="35" t="s">
        <v>192</v>
      </c>
    </row>
    <row r="8" customFormat="false" ht="63.75" hidden="false" customHeight="true" outlineLevel="0" collapsed="false">
      <c r="A8" s="35" t="s">
        <v>104</v>
      </c>
      <c r="B8" s="36" t="n">
        <v>9</v>
      </c>
      <c r="C8" s="36" t="n">
        <v>6</v>
      </c>
      <c r="D8" s="37" t="n">
        <f aca="false">料金レバー!$C$9</f>
        <v>398000</v>
      </c>
      <c r="E8" s="37" t="n">
        <f aca="false">ROUNDDOWN(D8*料金レバー!$C$12,0)</f>
        <v>199000</v>
      </c>
      <c r="F8" s="37" t="n">
        <f aca="false">D8-E8</f>
        <v>199000</v>
      </c>
      <c r="G8" s="35" t="s">
        <v>193</v>
      </c>
    </row>
    <row r="10" customFormat="false" ht="64.5" hidden="false" customHeight="true" outlineLevel="0" collapsed="false">
      <c r="A10" s="34" t="s">
        <v>194</v>
      </c>
      <c r="B10" s="34"/>
      <c r="C10" s="34"/>
      <c r="D10" s="34"/>
      <c r="E10" s="34"/>
      <c r="F10" s="34"/>
      <c r="G10" s="34"/>
    </row>
    <row r="12" customFormat="false" ht="63.75" hidden="false" customHeight="true" outlineLevel="0" collapsed="false">
      <c r="A12" s="35" t="s">
        <v>195</v>
      </c>
      <c r="B12" s="35"/>
      <c r="C12" s="35"/>
      <c r="D12" s="37" t="n">
        <f aca="false">料金レバー!$C$8-料金レバー!$C$7</f>
        <v>118200</v>
      </c>
      <c r="E12" s="35"/>
      <c r="F12" s="35"/>
      <c r="G12" s="35" t="s">
        <v>196</v>
      </c>
    </row>
    <row r="13" customFormat="false" ht="63.75" hidden="false" customHeight="true" outlineLevel="0" collapsed="false">
      <c r="A13" s="35" t="s">
        <v>197</v>
      </c>
      <c r="B13" s="35"/>
      <c r="C13" s="35"/>
      <c r="D13" s="37" t="n">
        <f aca="false">料金レバー!$C$9-料金レバー!$C$8</f>
        <v>200000</v>
      </c>
      <c r="E13" s="35"/>
      <c r="F13" s="35"/>
      <c r="G13" s="35" t="s">
        <v>198</v>
      </c>
    </row>
  </sheetData>
  <mergeCells count="3">
    <mergeCell ref="A2:G2"/>
    <mergeCell ref="A3:G3"/>
    <mergeCell ref="A10:G1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E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6.12"/>
    <col collapsed="false" customWidth="true" hidden="false" outlineLevel="0" max="3" min="2" style="1" width="19.59"/>
    <col collapsed="false" customWidth="true" hidden="false" outlineLevel="0" max="4" min="4" style="1" width="17.41"/>
    <col collapsed="false" customWidth="true" hidden="false" outlineLevel="0" max="5" min="5" style="1" width="87.06"/>
  </cols>
  <sheetData>
    <row r="2" customFormat="false" ht="31.5" hidden="false" customHeight="true" outlineLevel="0" collapsed="false">
      <c r="A2" s="33" t="s">
        <v>199</v>
      </c>
      <c r="B2" s="33"/>
      <c r="C2" s="33"/>
      <c r="D2" s="33"/>
      <c r="E2" s="33"/>
    </row>
    <row r="3" customFormat="false" ht="48" hidden="false" customHeight="true" outlineLevel="0" collapsed="false">
      <c r="A3" s="34" t="s">
        <v>183</v>
      </c>
      <c r="B3" s="34"/>
      <c r="C3" s="34"/>
      <c r="D3" s="34"/>
      <c r="E3" s="34"/>
    </row>
    <row r="5" customFormat="false" ht="15" hidden="false" customHeight="true" outlineLevel="0" collapsed="false">
      <c r="A5" s="4" t="s">
        <v>184</v>
      </c>
      <c r="B5" s="4" t="s">
        <v>200</v>
      </c>
      <c r="C5" s="4" t="s">
        <v>201</v>
      </c>
      <c r="D5" s="4" t="s">
        <v>202</v>
      </c>
      <c r="E5" s="4" t="s">
        <v>203</v>
      </c>
    </row>
    <row r="6" customFormat="false" ht="63.75" hidden="false" customHeight="true" outlineLevel="0" collapsed="false">
      <c r="A6" s="35" t="s">
        <v>132</v>
      </c>
      <c r="B6" s="37" t="n">
        <f aca="false">料金レバー!$C$23</f>
        <v>0</v>
      </c>
      <c r="C6" s="36" t="n">
        <v>0</v>
      </c>
      <c r="D6" s="36" t="n">
        <v>0</v>
      </c>
      <c r="E6" s="35" t="s">
        <v>204</v>
      </c>
    </row>
    <row r="7" customFormat="false" ht="63.75" hidden="false" customHeight="true" outlineLevel="0" collapsed="false">
      <c r="A7" s="35" t="s">
        <v>126</v>
      </c>
      <c r="B7" s="37" t="n">
        <f aca="false">料金レバー!$C$20</f>
        <v>4800</v>
      </c>
      <c r="C7" s="36" t="n">
        <v>0</v>
      </c>
      <c r="D7" s="36" t="n">
        <v>0</v>
      </c>
      <c r="E7" s="35" t="s">
        <v>205</v>
      </c>
    </row>
    <row r="8" customFormat="false" ht="63.75" hidden="false" customHeight="true" outlineLevel="0" collapsed="false">
      <c r="A8" s="35" t="s">
        <v>128</v>
      </c>
      <c r="B8" s="37" t="n">
        <f aca="false">料金レバー!$C$21</f>
        <v>9800</v>
      </c>
      <c r="C8" s="37" t="n">
        <f aca="false">料金レバー!$C$13</f>
        <v>30</v>
      </c>
      <c r="D8" s="36" t="n">
        <v>0</v>
      </c>
      <c r="E8" s="35" t="s">
        <v>206</v>
      </c>
    </row>
    <row r="9" customFormat="false" ht="63.75" hidden="false" customHeight="true" outlineLevel="0" collapsed="false">
      <c r="A9" s="35" t="s">
        <v>130</v>
      </c>
      <c r="B9" s="37" t="n">
        <f aca="false">料金レバー!$C$22</f>
        <v>29800</v>
      </c>
      <c r="C9" s="37" t="n">
        <f aca="false">料金レバー!$C$14</f>
        <v>90</v>
      </c>
      <c r="D9" s="37" t="n">
        <f aca="false">料金レバー!$C$15</f>
        <v>30</v>
      </c>
      <c r="E9" s="35" t="s">
        <v>207</v>
      </c>
    </row>
    <row r="11" customFormat="false" ht="64.5" hidden="false" customHeight="true" outlineLevel="0" collapsed="false">
      <c r="A11" s="34" t="s">
        <v>208</v>
      </c>
      <c r="B11" s="34"/>
      <c r="C11" s="34"/>
      <c r="D11" s="34"/>
      <c r="E11" s="34"/>
    </row>
  </sheetData>
  <mergeCells count="3">
    <mergeCell ref="A2:E2"/>
    <mergeCell ref="A3:E3"/>
    <mergeCell ref="A11:E1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52.24"/>
    <col collapsed="false" customWidth="true" hidden="false" outlineLevel="0" max="2" min="2" style="1" width="21.78"/>
    <col collapsed="false" customWidth="true" hidden="false" outlineLevel="0" max="3" min="3" style="1" width="76.17"/>
  </cols>
  <sheetData>
    <row r="2" customFormat="false" ht="31.5" hidden="false" customHeight="true" outlineLevel="0" collapsed="false">
      <c r="A2" s="33" t="s">
        <v>209</v>
      </c>
      <c r="B2" s="33"/>
      <c r="C2" s="33"/>
    </row>
    <row r="3" customFormat="false" ht="48" hidden="false" customHeight="true" outlineLevel="0" collapsed="false">
      <c r="A3" s="34" t="s">
        <v>183</v>
      </c>
      <c r="B3" s="34"/>
      <c r="C3" s="34"/>
    </row>
    <row r="5" customFormat="false" ht="15" hidden="false" customHeight="true" outlineLevel="0" collapsed="false">
      <c r="A5" s="4" t="s">
        <v>210</v>
      </c>
      <c r="B5" s="4" t="s">
        <v>211</v>
      </c>
      <c r="C5" s="4" t="s">
        <v>212</v>
      </c>
    </row>
    <row r="6" customFormat="false" ht="63.75" hidden="false" customHeight="true" outlineLevel="0" collapsed="false">
      <c r="A6" s="35" t="s">
        <v>213</v>
      </c>
      <c r="B6" s="36" t="n">
        <v>33000</v>
      </c>
      <c r="C6" s="35" t="s">
        <v>214</v>
      </c>
    </row>
    <row r="7" customFormat="false" ht="63.75" hidden="false" customHeight="true" outlineLevel="0" collapsed="false">
      <c r="A7" s="35" t="s">
        <v>215</v>
      </c>
      <c r="B7" s="36" t="n">
        <v>55000</v>
      </c>
      <c r="C7" s="35" t="s">
        <v>216</v>
      </c>
    </row>
    <row r="8" customFormat="false" ht="63.75" hidden="false" customHeight="true" outlineLevel="0" collapsed="false">
      <c r="A8" s="35" t="s">
        <v>217</v>
      </c>
      <c r="B8" s="36" t="n">
        <v>88000</v>
      </c>
      <c r="C8" s="35" t="s">
        <v>216</v>
      </c>
    </row>
    <row r="9" customFormat="false" ht="63.75" hidden="false" customHeight="true" outlineLevel="0" collapsed="false">
      <c r="A9" s="35" t="s">
        <v>218</v>
      </c>
      <c r="B9" s="36" t="n">
        <v>88000</v>
      </c>
      <c r="C9" s="35" t="s">
        <v>144</v>
      </c>
    </row>
    <row r="10" customFormat="false" ht="63.75" hidden="false" customHeight="true" outlineLevel="0" collapsed="false">
      <c r="A10" s="35" t="s">
        <v>219</v>
      </c>
      <c r="B10" s="36" t="n">
        <v>55000</v>
      </c>
      <c r="C10" s="35" t="s">
        <v>220</v>
      </c>
    </row>
    <row r="11" customFormat="false" ht="63.75" hidden="false" customHeight="true" outlineLevel="0" collapsed="false">
      <c r="A11" s="35" t="s">
        <v>221</v>
      </c>
      <c r="B11" s="36" t="n">
        <v>198000</v>
      </c>
      <c r="C11" s="35" t="s">
        <v>222</v>
      </c>
    </row>
    <row r="12" customFormat="false" ht="63.75" hidden="false" customHeight="true" outlineLevel="0" collapsed="false">
      <c r="A12" s="35" t="s">
        <v>223</v>
      </c>
      <c r="B12" s="36" t="n">
        <v>55000</v>
      </c>
      <c r="C12" s="35" t="s">
        <v>224</v>
      </c>
    </row>
    <row r="13" customFormat="false" ht="63.75" hidden="false" customHeight="true" outlineLevel="0" collapsed="false">
      <c r="A13" s="35" t="s">
        <v>225</v>
      </c>
      <c r="B13" s="36" t="n">
        <v>165000</v>
      </c>
      <c r="C13" s="35" t="s">
        <v>144</v>
      </c>
    </row>
    <row r="15" customFormat="false" ht="64.5" hidden="false" customHeight="true" outlineLevel="0" collapsed="false">
      <c r="A15" s="34" t="s">
        <v>226</v>
      </c>
      <c r="B15" s="34"/>
      <c r="C15" s="34"/>
    </row>
  </sheetData>
  <mergeCells count="3">
    <mergeCell ref="A2:C2"/>
    <mergeCell ref="A3:C3"/>
    <mergeCell ref="A15:C1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1.78"/>
    <col collapsed="false" customWidth="true" hidden="false" outlineLevel="0" max="2" min="2" style="1" width="58.78"/>
    <col collapsed="false" customWidth="true" hidden="false" outlineLevel="0" max="3" min="3" style="1" width="70.73"/>
  </cols>
  <sheetData>
    <row r="2" customFormat="false" ht="31.5" hidden="false" customHeight="true" outlineLevel="0" collapsed="false">
      <c r="A2" s="33" t="s">
        <v>17</v>
      </c>
      <c r="B2" s="33"/>
      <c r="C2" s="33"/>
    </row>
    <row r="3" customFormat="false" ht="48" hidden="false" customHeight="true" outlineLevel="0" collapsed="false">
      <c r="A3" s="34" t="s">
        <v>227</v>
      </c>
      <c r="B3" s="34"/>
      <c r="C3" s="34"/>
    </row>
    <row r="5" customFormat="false" ht="15" hidden="false" customHeight="true" outlineLevel="0" collapsed="false">
      <c r="A5" s="4" t="s">
        <v>228</v>
      </c>
      <c r="B5" s="4" t="s">
        <v>229</v>
      </c>
      <c r="C5" s="4" t="s">
        <v>212</v>
      </c>
    </row>
    <row r="6" customFormat="false" ht="63.75" hidden="false" customHeight="true" outlineLevel="0" collapsed="false">
      <c r="A6" s="35" t="s">
        <v>230</v>
      </c>
      <c r="B6" s="35" t="s">
        <v>231</v>
      </c>
      <c r="C6" s="35" t="s">
        <v>232</v>
      </c>
    </row>
    <row r="7" customFormat="false" ht="63.75" hidden="false" customHeight="true" outlineLevel="0" collapsed="false">
      <c r="A7" s="35" t="s">
        <v>230</v>
      </c>
      <c r="B7" s="35" t="s">
        <v>233</v>
      </c>
      <c r="C7" s="35" t="s">
        <v>232</v>
      </c>
    </row>
    <row r="8" customFormat="false" ht="63.75" hidden="false" customHeight="true" outlineLevel="0" collapsed="false">
      <c r="A8" s="35" t="s">
        <v>230</v>
      </c>
      <c r="B8" s="35" t="s">
        <v>234</v>
      </c>
      <c r="C8" s="35" t="s">
        <v>232</v>
      </c>
    </row>
    <row r="9" customFormat="false" ht="63.75" hidden="false" customHeight="true" outlineLevel="0" collapsed="false">
      <c r="A9" s="35" t="s">
        <v>230</v>
      </c>
      <c r="B9" s="35" t="s">
        <v>235</v>
      </c>
      <c r="C9" s="35" t="s">
        <v>232</v>
      </c>
    </row>
    <row r="10" customFormat="false" ht="63.75" hidden="false" customHeight="true" outlineLevel="0" collapsed="false">
      <c r="A10" s="35" t="s">
        <v>230</v>
      </c>
      <c r="B10" s="35" t="s">
        <v>236</v>
      </c>
      <c r="C10" s="35" t="s">
        <v>232</v>
      </c>
    </row>
    <row r="11" customFormat="false" ht="63.75" hidden="false" customHeight="true" outlineLevel="0" collapsed="false">
      <c r="A11" s="35" t="s">
        <v>230</v>
      </c>
      <c r="B11" s="35" t="s">
        <v>237</v>
      </c>
      <c r="C11" s="35" t="s">
        <v>232</v>
      </c>
    </row>
    <row r="12" customFormat="false" ht="63.75" hidden="false" customHeight="true" outlineLevel="0" collapsed="false">
      <c r="A12" s="35" t="s">
        <v>230</v>
      </c>
      <c r="B12" s="35" t="s">
        <v>238</v>
      </c>
      <c r="C12" s="35" t="s">
        <v>232</v>
      </c>
    </row>
    <row r="13" customFormat="false" ht="63.75" hidden="false" customHeight="true" outlineLevel="0" collapsed="false">
      <c r="A13" s="35" t="s">
        <v>230</v>
      </c>
      <c r="B13" s="35" t="s">
        <v>239</v>
      </c>
      <c r="C13" s="35" t="s">
        <v>232</v>
      </c>
    </row>
    <row r="14" customFormat="false" ht="63.75" hidden="false" customHeight="true" outlineLevel="0" collapsed="false">
      <c r="A14" s="35" t="s">
        <v>230</v>
      </c>
      <c r="B14" s="35" t="s">
        <v>240</v>
      </c>
      <c r="C14" s="35" t="s">
        <v>232</v>
      </c>
    </row>
    <row r="16" customFormat="false" ht="63.75" hidden="false" customHeight="true" outlineLevel="0" collapsed="false">
      <c r="A16" s="35" t="s">
        <v>241</v>
      </c>
      <c r="B16" s="35" t="s">
        <v>242</v>
      </c>
      <c r="C16" s="35" t="s">
        <v>243</v>
      </c>
    </row>
    <row r="17" customFormat="false" ht="63.75" hidden="false" customHeight="true" outlineLevel="0" collapsed="false">
      <c r="A17" s="35" t="s">
        <v>241</v>
      </c>
      <c r="B17" s="35" t="s">
        <v>244</v>
      </c>
      <c r="C17" s="35" t="s">
        <v>245</v>
      </c>
    </row>
    <row r="18" customFormat="false" ht="63.75" hidden="false" customHeight="true" outlineLevel="0" collapsed="false">
      <c r="A18" s="35" t="s">
        <v>241</v>
      </c>
      <c r="B18" s="35" t="s">
        <v>246</v>
      </c>
      <c r="C18" s="35" t="s">
        <v>247</v>
      </c>
    </row>
    <row r="19" customFormat="false" ht="63.75" hidden="false" customHeight="true" outlineLevel="0" collapsed="false">
      <c r="A19" s="35" t="s">
        <v>241</v>
      </c>
      <c r="B19" s="35" t="s">
        <v>248</v>
      </c>
      <c r="C19" s="35" t="s">
        <v>249</v>
      </c>
    </row>
    <row r="20" customFormat="false" ht="63.75" hidden="false" customHeight="true" outlineLevel="0" collapsed="false">
      <c r="A20" s="35" t="s">
        <v>241</v>
      </c>
      <c r="B20" s="35" t="s">
        <v>250</v>
      </c>
      <c r="C20" s="38" t="s">
        <v>251</v>
      </c>
    </row>
    <row r="21" customFormat="false" ht="63.75" hidden="false" customHeight="true" outlineLevel="0" collapsed="false">
      <c r="A21" s="35" t="s">
        <v>241</v>
      </c>
      <c r="B21" s="35" t="s">
        <v>252</v>
      </c>
      <c r="C21" s="35" t="s">
        <v>253</v>
      </c>
    </row>
    <row r="23" customFormat="false" ht="64.5" hidden="false" customHeight="true" outlineLevel="0" collapsed="false">
      <c r="A23" s="34" t="s">
        <v>254</v>
      </c>
      <c r="B23" s="34"/>
      <c r="C23" s="34"/>
    </row>
  </sheetData>
  <mergeCells count="3">
    <mergeCell ref="A2:C2"/>
    <mergeCell ref="A3:C3"/>
    <mergeCell ref="A23:C2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8.3"/>
    <col collapsed="false" customWidth="true" hidden="false" outlineLevel="0" max="3" min="2" style="1" width="18.5"/>
    <col collapsed="false" customWidth="true" hidden="false" outlineLevel="0" max="4" min="4" style="1" width="21.78"/>
    <col collapsed="false" customWidth="true" hidden="false" outlineLevel="0" max="6" min="5" style="1" width="20.68"/>
    <col collapsed="false" customWidth="true" hidden="false" outlineLevel="0" max="7" min="7" style="1" width="23.94"/>
  </cols>
  <sheetData>
    <row r="2" customFormat="false" ht="31.5" hidden="false" customHeight="true" outlineLevel="0" collapsed="false">
      <c r="A2" s="39" t="s">
        <v>255</v>
      </c>
      <c r="B2" s="39"/>
      <c r="C2" s="39"/>
      <c r="D2" s="39"/>
      <c r="E2" s="39"/>
      <c r="F2" s="39"/>
      <c r="G2" s="39"/>
    </row>
    <row r="3" customFormat="false" ht="48" hidden="false" customHeight="true" outlineLevel="0" collapsed="false">
      <c r="A3" s="34" t="s">
        <v>256</v>
      </c>
      <c r="B3" s="34"/>
      <c r="C3" s="34"/>
      <c r="D3" s="34"/>
      <c r="E3" s="34"/>
      <c r="F3" s="34"/>
      <c r="G3" s="34"/>
    </row>
    <row r="5" customFormat="false" ht="15" hidden="false" customHeight="true" outlineLevel="0" collapsed="false">
      <c r="A5" s="4" t="s">
        <v>184</v>
      </c>
      <c r="B5" s="4" t="s">
        <v>187</v>
      </c>
      <c r="C5" s="4" t="s">
        <v>257</v>
      </c>
      <c r="D5" s="4" t="s">
        <v>258</v>
      </c>
      <c r="E5" s="4" t="s">
        <v>259</v>
      </c>
      <c r="F5" s="4" t="s">
        <v>260</v>
      </c>
      <c r="G5" s="4" t="s">
        <v>261</v>
      </c>
    </row>
    <row r="6" customFormat="false" ht="63.75" hidden="false" customHeight="true" outlineLevel="0" collapsed="false">
      <c r="A6" s="35" t="s">
        <v>99</v>
      </c>
      <c r="B6" s="37" t="n">
        <f aca="false">料金レバー!$C$7</f>
        <v>79800</v>
      </c>
      <c r="C6" s="37" t="n">
        <f aca="false">料金レバー!$C$20</f>
        <v>4800</v>
      </c>
      <c r="D6" s="37" t="n">
        <f aca="false">料金レバー!$C$16</f>
        <v>3500</v>
      </c>
      <c r="E6" s="37" t="n">
        <f aca="false">B6+(C6+D6)*料金レバー!$C$25</f>
        <v>378600</v>
      </c>
      <c r="F6" s="37" t="n">
        <f aca="false">料金レバー!$C$29+料金レバー!$C$26*料金レバー!$C$25</f>
        <v>357800</v>
      </c>
      <c r="G6" s="37" t="n">
        <f aca="false">E6-F6</f>
        <v>20800</v>
      </c>
    </row>
    <row r="7" customFormat="false" ht="63.75" hidden="false" customHeight="true" outlineLevel="0" collapsed="false">
      <c r="A7" s="35" t="s">
        <v>102</v>
      </c>
      <c r="B7" s="37" t="n">
        <f aca="false">料金レバー!$C$8</f>
        <v>198000</v>
      </c>
      <c r="C7" s="37" t="n">
        <f aca="false">料金レバー!$C$20</f>
        <v>4800</v>
      </c>
      <c r="D7" s="37" t="n">
        <f aca="false">料金レバー!$C$16</f>
        <v>3500</v>
      </c>
      <c r="E7" s="37" t="n">
        <f aca="false">B7+(C7+D7)*料金レバー!$C$25</f>
        <v>496800</v>
      </c>
      <c r="F7" s="37" t="n">
        <f aca="false">料金レバー!$C$29+料金レバー!$C$27*料金レバー!$C$25</f>
        <v>537800</v>
      </c>
      <c r="G7" s="37" t="n">
        <f aca="false">E7-F7</f>
        <v>-41000</v>
      </c>
    </row>
    <row r="8" customFormat="false" ht="63.75" hidden="false" customHeight="true" outlineLevel="0" collapsed="false">
      <c r="A8" s="35" t="s">
        <v>104</v>
      </c>
      <c r="B8" s="37" t="n">
        <f aca="false">料金レバー!$C$9</f>
        <v>398000</v>
      </c>
      <c r="C8" s="37" t="n">
        <f aca="false">料金レバー!$C$20</f>
        <v>4800</v>
      </c>
      <c r="D8" s="37" t="n">
        <f aca="false">料金レバー!$C$16</f>
        <v>3500</v>
      </c>
      <c r="E8" s="37" t="n">
        <f aca="false">B8+(C8+D8)*料金レバー!$C$25</f>
        <v>696800</v>
      </c>
      <c r="F8" s="37" t="n">
        <f aca="false">料金レバー!$C$29+料金レバー!$C$28*料金レバー!$C$25</f>
        <v>717800</v>
      </c>
      <c r="G8" s="37" t="n">
        <f aca="false">E8-F8</f>
        <v>-21000</v>
      </c>
    </row>
    <row r="10" customFormat="false" ht="63.75" hidden="false" customHeight="true" outlineLevel="0" collapsed="false">
      <c r="A10" s="35" t="s">
        <v>262</v>
      </c>
      <c r="B10" s="37" t="n">
        <f aca="false">料金レバー!$C$8</f>
        <v>198000</v>
      </c>
      <c r="C10" s="37" t="n">
        <f aca="false">料金レバー!$C$21</f>
        <v>9800</v>
      </c>
      <c r="D10" s="37" t="n">
        <f aca="false">料金レバー!$C$16</f>
        <v>3500</v>
      </c>
      <c r="E10" s="37" t="n">
        <f aca="false">B10+(C10+D10)*料金レバー!$C$25</f>
        <v>676800</v>
      </c>
      <c r="F10" s="37" t="n">
        <f aca="false">料金レバー!$C$29+料金レバー!$C$27*料金レバー!$C$25</f>
        <v>537800</v>
      </c>
      <c r="G10" s="37" t="n">
        <f aca="false">E10-F10</f>
        <v>139000</v>
      </c>
    </row>
    <row r="12" customFormat="false" ht="64.5" hidden="false" customHeight="true" outlineLevel="0" collapsed="false">
      <c r="A12" s="34" t="s">
        <v>263</v>
      </c>
      <c r="B12" s="34"/>
      <c r="C12" s="34"/>
      <c r="D12" s="34"/>
      <c r="E12" s="34"/>
      <c r="F12" s="34"/>
      <c r="G12" s="34"/>
    </row>
    <row r="14" customFormat="false" ht="64.5" hidden="false" customHeight="true" outlineLevel="0" collapsed="false">
      <c r="A14" s="34" t="s">
        <v>264</v>
      </c>
      <c r="B14" s="34"/>
      <c r="C14" s="34"/>
      <c r="D14" s="34"/>
      <c r="E14" s="34"/>
      <c r="F14" s="34"/>
      <c r="G14" s="34"/>
    </row>
  </sheetData>
  <mergeCells count="4">
    <mergeCell ref="A2:G2"/>
    <mergeCell ref="A3:G3"/>
    <mergeCell ref="A12:G12"/>
    <mergeCell ref="A14:G1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3.94"/>
    <col collapsed="false" customWidth="true" hidden="false" outlineLevel="0" max="2" min="2" style="1" width="43.53"/>
    <col collapsed="false" customWidth="true" hidden="false" outlineLevel="0" max="4" min="3" style="1" width="17.41"/>
    <col collapsed="false" customWidth="true" hidden="false" outlineLevel="0" max="5" min="5" style="1" width="37"/>
  </cols>
  <sheetData>
    <row r="2" customFormat="false" ht="24" hidden="false" customHeight="true" outlineLevel="0" collapsed="false">
      <c r="A2" s="2" t="s">
        <v>265</v>
      </c>
    </row>
    <row r="3" customFormat="false" ht="15" hidden="false" customHeight="true" outlineLevel="0" collapsed="false">
      <c r="A3" s="18" t="s">
        <v>266</v>
      </c>
    </row>
    <row r="5" customFormat="false" ht="30" hidden="false" customHeight="true" outlineLevel="0" collapsed="false">
      <c r="A5" s="4" t="s">
        <v>267</v>
      </c>
      <c r="B5" s="4" t="s">
        <v>51</v>
      </c>
      <c r="C5" s="4" t="s">
        <v>268</v>
      </c>
      <c r="D5" s="4"/>
      <c r="E5" s="4" t="s">
        <v>52</v>
      </c>
    </row>
    <row r="6" customFormat="false" ht="21.75" hidden="false" customHeight="true" outlineLevel="0" collapsed="false">
      <c r="A6" s="6" t="s">
        <v>269</v>
      </c>
      <c r="B6" s="7" t="s">
        <v>270</v>
      </c>
      <c r="C6" s="40" t="n">
        <f aca="false">料金レバー!$C$8</f>
        <v>198000</v>
      </c>
      <c r="D6" s="41"/>
      <c r="E6" s="42"/>
    </row>
    <row r="7" customFormat="false" ht="21.75" hidden="false" customHeight="true" outlineLevel="0" collapsed="false">
      <c r="A7" s="6" t="s">
        <v>271</v>
      </c>
      <c r="B7" s="7" t="s">
        <v>272</v>
      </c>
      <c r="C7" s="40" t="n">
        <v>150000</v>
      </c>
      <c r="D7" s="41"/>
      <c r="E7" s="42"/>
    </row>
    <row r="8" customFormat="false" ht="21.75" hidden="false" customHeight="true" outlineLevel="0" collapsed="false">
      <c r="A8" s="6" t="s">
        <v>271</v>
      </c>
      <c r="B8" s="7" t="s">
        <v>273</v>
      </c>
      <c r="C8" s="40" t="n">
        <v>100000</v>
      </c>
      <c r="D8" s="41"/>
      <c r="E8" s="42"/>
    </row>
    <row r="9" customFormat="false" ht="21.75" hidden="false" customHeight="true" outlineLevel="0" collapsed="false">
      <c r="A9" s="6" t="s">
        <v>271</v>
      </c>
      <c r="B9" s="7" t="s">
        <v>274</v>
      </c>
      <c r="C9" s="40" t="n">
        <v>88000</v>
      </c>
      <c r="D9" s="41"/>
      <c r="E9" s="42"/>
    </row>
    <row r="10" customFormat="false" ht="21.75" hidden="false" customHeight="true" outlineLevel="0" collapsed="false">
      <c r="A10" s="6" t="s">
        <v>271</v>
      </c>
      <c r="B10" s="7" t="s">
        <v>275</v>
      </c>
      <c r="C10" s="40" t="n">
        <v>64000</v>
      </c>
      <c r="D10" s="41"/>
      <c r="E10" s="42"/>
    </row>
    <row r="11" customFormat="false" ht="15" hidden="false" customHeight="true" outlineLevel="0" collapsed="false">
      <c r="A11" s="26"/>
      <c r="B11" s="19" t="s">
        <v>276</v>
      </c>
      <c r="C11" s="43" t="n">
        <f aca="false">SUM(C6:C10)</f>
        <v>600000</v>
      </c>
      <c r="D11" s="26"/>
      <c r="E11" s="26"/>
    </row>
    <row r="13" customFormat="false" ht="24" hidden="false" customHeight="true" outlineLevel="0" collapsed="false">
      <c r="A13" s="2" t="s">
        <v>277</v>
      </c>
    </row>
    <row r="14" customFormat="false" ht="15" hidden="false" customHeight="true" outlineLevel="0" collapsed="false">
      <c r="A14" s="18" t="s">
        <v>278</v>
      </c>
    </row>
    <row r="16" customFormat="false" ht="30" hidden="false" customHeight="true" outlineLevel="0" collapsed="false">
      <c r="A16" s="4"/>
      <c r="B16" s="4" t="s">
        <v>11</v>
      </c>
      <c r="C16" s="4" t="s">
        <v>268</v>
      </c>
      <c r="D16" s="4"/>
      <c r="E16" s="4" t="s">
        <v>279</v>
      </c>
    </row>
    <row r="17" customFormat="false" ht="24" hidden="false" customHeight="true" outlineLevel="0" collapsed="false">
      <c r="A17" s="41"/>
      <c r="B17" s="41" t="s">
        <v>269</v>
      </c>
      <c r="C17" s="44" t="n">
        <f aca="false">SUMIF($A$6:$A$10,"ウェブサイト関連費",$C$6:$C$10)</f>
        <v>198000</v>
      </c>
      <c r="D17" s="41"/>
      <c r="E17" s="21" t="s">
        <v>280</v>
      </c>
    </row>
    <row r="18" customFormat="false" ht="24" hidden="false" customHeight="true" outlineLevel="0" collapsed="false">
      <c r="A18" s="41"/>
      <c r="B18" s="41" t="s">
        <v>271</v>
      </c>
      <c r="C18" s="44" t="n">
        <f aca="false">SUMIF($A$6:$A$10,"広報費",$C$6:$C$10)</f>
        <v>402000</v>
      </c>
      <c r="D18" s="41"/>
      <c r="E18" s="21" t="s">
        <v>281</v>
      </c>
    </row>
    <row r="19" customFormat="false" ht="24" hidden="false" customHeight="true" outlineLevel="0" collapsed="false">
      <c r="A19" s="41"/>
      <c r="B19" s="41" t="s">
        <v>282</v>
      </c>
      <c r="C19" s="44" t="n">
        <f aca="false">MIN(FLOOR(C17*料金レバー!$C$31,1),料金レバー!$C$33)</f>
        <v>132000</v>
      </c>
      <c r="D19" s="41"/>
      <c r="E19" s="21" t="s">
        <v>283</v>
      </c>
    </row>
    <row r="20" customFormat="false" ht="24" hidden="false" customHeight="true" outlineLevel="0" collapsed="false">
      <c r="A20" s="41"/>
      <c r="B20" s="41" t="s">
        <v>284</v>
      </c>
      <c r="C20" s="44" t="n">
        <f aca="false">MIN(FLOOR(C18*料金レバー!$C$31,1),料金レバー!$C$32-C19)</f>
        <v>268000</v>
      </c>
      <c r="D20" s="41"/>
      <c r="E20" s="21" t="s">
        <v>285</v>
      </c>
    </row>
    <row r="21" customFormat="false" ht="24" hidden="false" customHeight="true" outlineLevel="0" collapsed="false">
      <c r="A21" s="26"/>
      <c r="B21" s="19" t="s">
        <v>286</v>
      </c>
      <c r="C21" s="45" t="n">
        <f aca="false">MIN(C19+C20,料金レバー!$C$32)</f>
        <v>400000</v>
      </c>
      <c r="D21" s="26"/>
      <c r="E21" s="46" t="s">
        <v>287</v>
      </c>
    </row>
    <row r="22" customFormat="false" ht="24" hidden="false" customHeight="true" outlineLevel="0" collapsed="false">
      <c r="A22" s="26"/>
      <c r="B22" s="19" t="s">
        <v>288</v>
      </c>
      <c r="C22" s="47" t="n">
        <f aca="false">$C$11-C21</f>
        <v>200000</v>
      </c>
      <c r="D22" s="26"/>
      <c r="E22" s="46" t="s">
        <v>289</v>
      </c>
    </row>
    <row r="24" customFormat="false" ht="24" hidden="false" customHeight="true" outlineLevel="0" collapsed="false">
      <c r="A24" s="2" t="s">
        <v>290</v>
      </c>
    </row>
    <row r="25" customFormat="false" ht="15" hidden="false" customHeight="true" outlineLevel="0" collapsed="false">
      <c r="A25" s="18" t="s">
        <v>291</v>
      </c>
    </row>
    <row r="27" customFormat="false" ht="30" hidden="false" customHeight="true" outlineLevel="0" collapsed="false">
      <c r="A27" s="4" t="s">
        <v>50</v>
      </c>
      <c r="B27" s="4" t="s">
        <v>51</v>
      </c>
      <c r="C27" s="4"/>
      <c r="D27" s="4"/>
      <c r="E27" s="4"/>
    </row>
    <row r="28" customFormat="false" ht="33.75" hidden="false" customHeight="true" outlineLevel="0" collapsed="false">
      <c r="A28" s="19" t="s">
        <v>292</v>
      </c>
      <c r="B28" s="9" t="s">
        <v>293</v>
      </c>
      <c r="C28" s="9"/>
      <c r="D28" s="9"/>
      <c r="E28" s="9"/>
    </row>
    <row r="29" customFormat="false" ht="33.75" hidden="false" customHeight="true" outlineLevel="0" collapsed="false">
      <c r="A29" s="19" t="s">
        <v>294</v>
      </c>
      <c r="B29" s="7" t="s">
        <v>295</v>
      </c>
      <c r="C29" s="7"/>
      <c r="D29" s="7"/>
      <c r="E29" s="7"/>
    </row>
    <row r="30" customFormat="false" ht="33.75" hidden="false" customHeight="true" outlineLevel="0" collapsed="false">
      <c r="A30" s="19" t="s">
        <v>296</v>
      </c>
      <c r="B30" s="7" t="s">
        <v>297</v>
      </c>
      <c r="C30" s="7"/>
      <c r="D30" s="7"/>
      <c r="E30" s="7"/>
    </row>
    <row r="31" customFormat="false" ht="33.75" hidden="false" customHeight="true" outlineLevel="0" collapsed="false">
      <c r="A31" s="19" t="s">
        <v>298</v>
      </c>
      <c r="B31" s="7" t="s">
        <v>299</v>
      </c>
      <c r="C31" s="7"/>
      <c r="D31" s="7"/>
      <c r="E31" s="7"/>
    </row>
    <row r="32" customFormat="false" ht="33.75" hidden="false" customHeight="true" outlineLevel="0" collapsed="false">
      <c r="A32" s="19" t="s">
        <v>300</v>
      </c>
      <c r="B32" s="7" t="s">
        <v>301</v>
      </c>
      <c r="C32" s="7"/>
      <c r="D32" s="7"/>
      <c r="E32" s="7"/>
    </row>
    <row r="33" customFormat="false" ht="33.75" hidden="false" customHeight="true" outlineLevel="0" collapsed="false">
      <c r="A33" s="19" t="s">
        <v>302</v>
      </c>
      <c r="B33" s="9" t="s">
        <v>303</v>
      </c>
      <c r="C33" s="9"/>
      <c r="D33" s="9"/>
      <c r="E33" s="9"/>
    </row>
    <row r="34" customFormat="false" ht="33.75" hidden="false" customHeight="true" outlineLevel="0" collapsed="false">
      <c r="A34" s="19" t="s">
        <v>304</v>
      </c>
      <c r="B34" s="9" t="s">
        <v>305</v>
      </c>
      <c r="C34" s="9"/>
      <c r="D34" s="9"/>
      <c r="E34" s="9"/>
    </row>
    <row r="35" customFormat="false" ht="33.75" hidden="false" customHeight="true" outlineLevel="0" collapsed="false">
      <c r="A35" s="19" t="s">
        <v>306</v>
      </c>
      <c r="B35" s="9" t="s">
        <v>307</v>
      </c>
      <c r="C35" s="9"/>
      <c r="D35" s="9"/>
      <c r="E35" s="9"/>
    </row>
    <row r="36" customFormat="false" ht="33.75" hidden="false" customHeight="true" outlineLevel="0" collapsed="false">
      <c r="A36" s="19" t="s">
        <v>308</v>
      </c>
      <c r="B36" s="7" t="s">
        <v>309</v>
      </c>
      <c r="C36" s="7"/>
      <c r="D36" s="7"/>
      <c r="E36" s="7"/>
    </row>
    <row r="38" customFormat="false" ht="27.75" hidden="false" customHeight="true" outlineLevel="0" collapsed="false">
      <c r="A38" s="24" t="s">
        <v>310</v>
      </c>
    </row>
  </sheetData>
  <mergeCells count="9">
    <mergeCell ref="B28:E28"/>
    <mergeCell ref="B29:E29"/>
    <mergeCell ref="B30:E30"/>
    <mergeCell ref="B31:E31"/>
    <mergeCell ref="B32:E32"/>
    <mergeCell ref="B33:E33"/>
    <mergeCell ref="B34:E34"/>
    <mergeCell ref="B35:E35"/>
    <mergeCell ref="B36:E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7.21"/>
    <col collapsed="false" customWidth="true" hidden="false" outlineLevel="0" max="2" min="2" style="1" width="21.78"/>
    <col collapsed="false" customWidth="true" hidden="false" outlineLevel="0" max="3" min="3" style="1" width="27.21"/>
    <col collapsed="false" customWidth="true" hidden="false" outlineLevel="0" max="4" min="4" style="1" width="21.78"/>
    <col collapsed="false" customWidth="true" hidden="false" outlineLevel="0" max="5" min="5" style="1" width="70.73"/>
  </cols>
  <sheetData>
    <row r="2" customFormat="false" ht="31.5" hidden="false" customHeight="true" outlineLevel="0" collapsed="false">
      <c r="A2" s="33" t="s">
        <v>311</v>
      </c>
      <c r="B2" s="33"/>
      <c r="C2" s="33"/>
      <c r="D2" s="33"/>
      <c r="E2" s="33"/>
    </row>
    <row r="3" customFormat="false" ht="48" hidden="false" customHeight="true" outlineLevel="0" collapsed="false">
      <c r="A3" s="34" t="s">
        <v>312</v>
      </c>
      <c r="B3" s="34"/>
      <c r="C3" s="34"/>
      <c r="D3" s="34"/>
      <c r="E3" s="34"/>
    </row>
    <row r="5" customFormat="false" ht="15" hidden="false" customHeight="true" outlineLevel="0" collapsed="false">
      <c r="A5" s="4" t="s">
        <v>313</v>
      </c>
      <c r="B5" s="4" t="s">
        <v>314</v>
      </c>
      <c r="C5" s="4" t="s">
        <v>315</v>
      </c>
      <c r="D5" s="4" t="s">
        <v>316</v>
      </c>
      <c r="E5" s="4" t="s">
        <v>212</v>
      </c>
    </row>
    <row r="6" customFormat="false" ht="63.75" hidden="false" customHeight="true" outlineLevel="0" collapsed="false">
      <c r="A6" s="35" t="s">
        <v>317</v>
      </c>
      <c r="B6" s="37" t="n">
        <f aca="false">料金レバー!$C$35</f>
        <v>110000</v>
      </c>
      <c r="C6" s="37" t="n">
        <f aca="false">ROUND((料金レバー!$C$21+料金レバー!$C$16)*(1+料金レバー!$C$17),0)</f>
        <v>14630</v>
      </c>
      <c r="D6" s="37" t="n">
        <f aca="false">B6-C6</f>
        <v>95370</v>
      </c>
      <c r="E6" s="35" t="s">
        <v>318</v>
      </c>
    </row>
    <row r="7" customFormat="false" ht="63.75" hidden="false" customHeight="true" outlineLevel="0" collapsed="false">
      <c r="A7" s="35" t="s">
        <v>319</v>
      </c>
      <c r="B7" s="37" t="n">
        <f aca="false">料金レバー!$C$36</f>
        <v>55000</v>
      </c>
      <c r="C7" s="37" t="n">
        <f aca="false">ROUND((料金レバー!$C$21+料金レバー!$C$16)*(1+料金レバー!$C$17),0)</f>
        <v>14630</v>
      </c>
      <c r="D7" s="37" t="n">
        <f aca="false">B7-C7</f>
        <v>40370</v>
      </c>
      <c r="E7" s="35" t="s">
        <v>318</v>
      </c>
    </row>
    <row r="8" customFormat="false" ht="63.75" hidden="false" customHeight="true" outlineLevel="0" collapsed="false">
      <c r="A8" s="35" t="s">
        <v>154</v>
      </c>
      <c r="B8" s="37" t="n">
        <f aca="false">料金レバー!$C$37</f>
        <v>27500</v>
      </c>
      <c r="C8" s="37" t="n">
        <f aca="false">ROUND((料金レバー!$C$21+料金レバー!$C$16)*(1+料金レバー!$C$17),0)</f>
        <v>14630</v>
      </c>
      <c r="D8" s="37" t="n">
        <f aca="false">B8-C8</f>
        <v>12870</v>
      </c>
      <c r="E8" s="35" t="s">
        <v>318</v>
      </c>
    </row>
    <row r="9" customFormat="false" ht="63.75" hidden="false" customHeight="true" outlineLevel="0" collapsed="false">
      <c r="A9" s="35" t="s">
        <v>155</v>
      </c>
      <c r="B9" s="37" t="n">
        <f aca="false">料金レバー!$C$38</f>
        <v>11000</v>
      </c>
      <c r="C9" s="37" t="n">
        <f aca="false">ROUND((料金レバー!$C$21+料金レバー!$C$16)*(1+料金レバー!$C$17),0)</f>
        <v>14630</v>
      </c>
      <c r="D9" s="37" t="n">
        <f aca="false">B9-C9</f>
        <v>-3630</v>
      </c>
      <c r="E9" s="35" t="s">
        <v>318</v>
      </c>
    </row>
    <row r="10" customFormat="false" ht="63.75" hidden="false" customHeight="true" outlineLevel="0" collapsed="false">
      <c r="A10" s="35" t="s">
        <v>156</v>
      </c>
      <c r="B10" s="37" t="n">
        <f aca="false">料金レバー!$C$39</f>
        <v>0</v>
      </c>
      <c r="C10" s="37" t="n">
        <f aca="false">ROUND((料金レバー!$C$21+料金レバー!$C$16)*(1+料金レバー!$C$17),0)</f>
        <v>14630</v>
      </c>
      <c r="D10" s="37" t="n">
        <f aca="false">B10-C10</f>
        <v>-14630</v>
      </c>
      <c r="E10" s="35" t="s">
        <v>318</v>
      </c>
    </row>
    <row r="12" customFormat="false" ht="63.75" hidden="false" customHeight="true" outlineLevel="0" collapsed="false">
      <c r="A12" s="35" t="s">
        <v>320</v>
      </c>
      <c r="B12" s="37" t="n">
        <f aca="false">ROUNDUP(C6/料金レバー!$C$40,0)</f>
        <v>67</v>
      </c>
      <c r="C12" s="35"/>
      <c r="D12" s="35"/>
      <c r="E12" s="35" t="s">
        <v>321</v>
      </c>
    </row>
    <row r="14" customFormat="false" ht="64.5" hidden="false" customHeight="true" outlineLevel="0" collapsed="false">
      <c r="A14" s="34" t="s">
        <v>322</v>
      </c>
      <c r="B14" s="34"/>
      <c r="C14" s="34"/>
      <c r="D14" s="34"/>
      <c r="E14" s="34"/>
    </row>
  </sheetData>
  <mergeCells count="3">
    <mergeCell ref="A2:E2"/>
    <mergeCell ref="A3:E3"/>
    <mergeCell ref="A14:E1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6.53"/>
    <col collapsed="false" customWidth="true" hidden="false" outlineLevel="0" max="2" min="2" style="1" width="13.06"/>
    <col collapsed="false" customWidth="true" hidden="false" outlineLevel="0" max="3" min="3" style="1" width="43.53"/>
    <col collapsed="false" customWidth="true" hidden="false" outlineLevel="0" max="4" min="4" style="1" width="78.35"/>
  </cols>
  <sheetData>
    <row r="2" customFormat="false" ht="24" hidden="false" customHeight="true" outlineLevel="0" collapsed="false">
      <c r="A2" s="2" t="s">
        <v>323</v>
      </c>
    </row>
    <row r="3" customFormat="false" ht="15" hidden="false" customHeight="true" outlineLevel="0" collapsed="false">
      <c r="A3" s="18" t="s">
        <v>324</v>
      </c>
    </row>
    <row r="5" customFormat="false" ht="30" hidden="false" customHeight="true" outlineLevel="0" collapsed="false">
      <c r="A5" s="48" t="s">
        <v>325</v>
      </c>
      <c r="B5" s="4" t="s">
        <v>326</v>
      </c>
      <c r="C5" s="4" t="s">
        <v>50</v>
      </c>
      <c r="D5" s="4" t="s">
        <v>327</v>
      </c>
    </row>
    <row r="6" customFormat="false" ht="42" hidden="false" customHeight="true" outlineLevel="0" collapsed="false">
      <c r="A6" s="28" t="n">
        <v>1</v>
      </c>
      <c r="B6" s="49" t="s">
        <v>328</v>
      </c>
      <c r="C6" s="50" t="s">
        <v>329</v>
      </c>
      <c r="D6" s="51" t="s">
        <v>330</v>
      </c>
    </row>
    <row r="7" customFormat="false" ht="42" hidden="false" customHeight="true" outlineLevel="0" collapsed="false">
      <c r="A7" s="28" t="n">
        <v>2</v>
      </c>
      <c r="B7" s="49" t="s">
        <v>328</v>
      </c>
      <c r="C7" s="50" t="s">
        <v>331</v>
      </c>
      <c r="D7" s="51" t="s">
        <v>332</v>
      </c>
    </row>
    <row r="8" customFormat="false" ht="42" hidden="false" customHeight="true" outlineLevel="0" collapsed="false">
      <c r="A8" s="28" t="n">
        <v>3</v>
      </c>
      <c r="B8" s="49" t="s">
        <v>328</v>
      </c>
      <c r="C8" s="50" t="s">
        <v>333</v>
      </c>
      <c r="D8" s="51" t="s">
        <v>334</v>
      </c>
    </row>
    <row r="9" customFormat="false" ht="42" hidden="false" customHeight="true" outlineLevel="0" collapsed="false">
      <c r="A9" s="28" t="n">
        <v>4</v>
      </c>
      <c r="B9" s="49" t="s">
        <v>328</v>
      </c>
      <c r="C9" s="50" t="s">
        <v>335</v>
      </c>
      <c r="D9" s="51" t="s">
        <v>336</v>
      </c>
    </row>
    <row r="10" customFormat="false" ht="42" hidden="false" customHeight="true" outlineLevel="0" collapsed="false">
      <c r="A10" s="28" t="n">
        <v>5</v>
      </c>
      <c r="B10" s="49" t="s">
        <v>328</v>
      </c>
      <c r="C10" s="50" t="s">
        <v>337</v>
      </c>
      <c r="D10" s="51" t="s">
        <v>338</v>
      </c>
    </row>
    <row r="11" customFormat="false" ht="42" hidden="false" customHeight="true" outlineLevel="0" collapsed="false">
      <c r="A11" s="28" t="n">
        <v>6</v>
      </c>
      <c r="B11" s="49" t="s">
        <v>328</v>
      </c>
      <c r="C11" s="50" t="s">
        <v>339</v>
      </c>
      <c r="D11" s="51" t="s">
        <v>340</v>
      </c>
    </row>
    <row r="12" customFormat="false" ht="42" hidden="false" customHeight="true" outlineLevel="0" collapsed="false">
      <c r="A12" s="28" t="n">
        <v>7</v>
      </c>
      <c r="B12" s="49" t="s">
        <v>25</v>
      </c>
      <c r="C12" s="50" t="s">
        <v>341</v>
      </c>
      <c r="D12" s="51" t="s">
        <v>342</v>
      </c>
    </row>
    <row r="13" customFormat="false" ht="42" hidden="false" customHeight="true" outlineLevel="0" collapsed="false">
      <c r="A13" s="28" t="n">
        <v>8</v>
      </c>
      <c r="B13" s="49" t="s">
        <v>25</v>
      </c>
      <c r="C13" s="50" t="s">
        <v>343</v>
      </c>
      <c r="D13" s="51" t="s">
        <v>344</v>
      </c>
    </row>
    <row r="14" customFormat="false" ht="42" hidden="false" customHeight="true" outlineLevel="0" collapsed="false">
      <c r="A14" s="28" t="n">
        <v>9</v>
      </c>
      <c r="B14" s="49" t="s">
        <v>25</v>
      </c>
      <c r="C14" s="50" t="s">
        <v>345</v>
      </c>
      <c r="D14" s="51" t="s">
        <v>346</v>
      </c>
    </row>
    <row r="15" customFormat="false" ht="42" hidden="false" customHeight="true" outlineLevel="0" collapsed="false">
      <c r="A15" s="28" t="n">
        <v>10</v>
      </c>
      <c r="B15" s="49" t="s">
        <v>25</v>
      </c>
      <c r="C15" s="50" t="s">
        <v>347</v>
      </c>
      <c r="D15" s="51" t="s">
        <v>348</v>
      </c>
    </row>
    <row r="16" customFormat="false" ht="42" hidden="false" customHeight="true" outlineLevel="0" collapsed="false">
      <c r="A16" s="28" t="n">
        <v>11</v>
      </c>
      <c r="B16" s="49" t="s">
        <v>25</v>
      </c>
      <c r="C16" s="50" t="s">
        <v>349</v>
      </c>
      <c r="D16" s="51" t="s">
        <v>350</v>
      </c>
    </row>
    <row r="17" customFormat="false" ht="42" hidden="false" customHeight="true" outlineLevel="0" collapsed="false">
      <c r="A17" s="28" t="n">
        <v>12</v>
      </c>
      <c r="B17" s="49" t="s">
        <v>351</v>
      </c>
      <c r="C17" s="50" t="s">
        <v>352</v>
      </c>
      <c r="D17" s="52" t="s">
        <v>353</v>
      </c>
    </row>
    <row r="18" customFormat="false" ht="42" hidden="false" customHeight="true" outlineLevel="0" collapsed="false">
      <c r="A18" s="28" t="n">
        <v>13</v>
      </c>
      <c r="B18" s="49" t="s">
        <v>351</v>
      </c>
      <c r="C18" s="50" t="s">
        <v>354</v>
      </c>
      <c r="D18" s="51" t="s">
        <v>355</v>
      </c>
    </row>
    <row r="19" customFormat="false" ht="42" hidden="false" customHeight="true" outlineLevel="0" collapsed="false">
      <c r="A19" s="28" t="n">
        <v>14</v>
      </c>
      <c r="B19" s="49" t="s">
        <v>351</v>
      </c>
      <c r="C19" s="50" t="s">
        <v>356</v>
      </c>
      <c r="D19" s="51" t="s">
        <v>357</v>
      </c>
    </row>
    <row r="20" customFormat="false" ht="42" hidden="false" customHeight="true" outlineLevel="0" collapsed="false">
      <c r="A20" s="28" t="n">
        <v>15</v>
      </c>
      <c r="B20" s="49" t="s">
        <v>351</v>
      </c>
      <c r="C20" s="50" t="s">
        <v>358</v>
      </c>
      <c r="D20" s="52" t="s">
        <v>359</v>
      </c>
    </row>
    <row r="21" customFormat="false" ht="42" hidden="false" customHeight="true" outlineLevel="0" collapsed="false">
      <c r="A21" s="28" t="n">
        <v>16</v>
      </c>
      <c r="B21" s="49" t="s">
        <v>351</v>
      </c>
      <c r="C21" s="50" t="s">
        <v>360</v>
      </c>
      <c r="D21" s="51" t="s">
        <v>361</v>
      </c>
    </row>
    <row r="22" customFormat="false" ht="42" hidden="false" customHeight="true" outlineLevel="0" collapsed="false">
      <c r="A22" s="28" t="n">
        <v>17</v>
      </c>
      <c r="B22" s="49" t="s">
        <v>351</v>
      </c>
      <c r="C22" s="50" t="s">
        <v>362</v>
      </c>
      <c r="D22" s="52" t="s">
        <v>363</v>
      </c>
    </row>
    <row r="23" customFormat="false" ht="42" hidden="false" customHeight="true" outlineLevel="0" collapsed="false">
      <c r="A23" s="28" t="n">
        <v>18</v>
      </c>
      <c r="B23" s="49" t="s">
        <v>364</v>
      </c>
      <c r="C23" s="53" t="s">
        <v>365</v>
      </c>
      <c r="D23" s="52" t="s">
        <v>366</v>
      </c>
    </row>
    <row r="24" customFormat="false" ht="42" hidden="false" customHeight="true" outlineLevel="0" collapsed="false">
      <c r="A24" s="28" t="n">
        <v>19</v>
      </c>
      <c r="B24" s="49" t="s">
        <v>364</v>
      </c>
      <c r="C24" s="50" t="s">
        <v>367</v>
      </c>
      <c r="D24" s="51" t="s">
        <v>368</v>
      </c>
    </row>
    <row r="25" customFormat="false" ht="42" hidden="false" customHeight="true" outlineLevel="0" collapsed="false">
      <c r="A25" s="28" t="n">
        <v>20</v>
      </c>
      <c r="B25" s="49" t="s">
        <v>364</v>
      </c>
      <c r="C25" s="50" t="s">
        <v>369</v>
      </c>
      <c r="D25" s="52" t="s">
        <v>370</v>
      </c>
    </row>
    <row r="27" customFormat="false" ht="24" hidden="false" customHeight="true" outlineLevel="0" collapsed="false">
      <c r="A27" s="2" t="s">
        <v>371</v>
      </c>
    </row>
    <row r="29" customFormat="false" ht="29.25" hidden="false" customHeight="true" outlineLevel="0" collapsed="false">
      <c r="A29" s="41"/>
      <c r="B29" s="54" t="s">
        <v>328</v>
      </c>
      <c r="C29" s="7" t="s">
        <v>372</v>
      </c>
      <c r="D29" s="41"/>
    </row>
    <row r="30" customFormat="false" ht="15" hidden="false" customHeight="true" outlineLevel="0" collapsed="false">
      <c r="A30" s="41"/>
      <c r="B30" s="54" t="s">
        <v>25</v>
      </c>
      <c r="C30" s="7" t="s">
        <v>373</v>
      </c>
      <c r="D30" s="41"/>
    </row>
    <row r="31" customFormat="false" ht="29.25" hidden="false" customHeight="true" outlineLevel="0" collapsed="false">
      <c r="A31" s="41"/>
      <c r="B31" s="54" t="s">
        <v>351</v>
      </c>
      <c r="C31" s="7" t="s">
        <v>374</v>
      </c>
      <c r="D31" s="41"/>
    </row>
    <row r="32" customFormat="false" ht="15" hidden="false" customHeight="true" outlineLevel="0" collapsed="false">
      <c r="A32" s="41"/>
      <c r="B32" s="54" t="s">
        <v>364</v>
      </c>
      <c r="C32" s="7" t="s">
        <v>375</v>
      </c>
      <c r="D32" s="4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B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41.35"/>
    <col collapsed="false" customWidth="true" hidden="false" outlineLevel="0" max="2" min="2" style="1" width="84.88"/>
  </cols>
  <sheetData>
    <row r="2" customFormat="false" ht="24" hidden="false" customHeight="true" outlineLevel="0" collapsed="false">
      <c r="A2" s="2" t="s">
        <v>376</v>
      </c>
    </row>
    <row r="3" customFormat="false" ht="15" hidden="false" customHeight="true" outlineLevel="0" collapsed="false">
      <c r="A3" s="18" t="s">
        <v>377</v>
      </c>
    </row>
    <row r="5" customFormat="false" ht="30" hidden="false" customHeight="true" outlineLevel="0" collapsed="false">
      <c r="A5" s="4" t="s">
        <v>28</v>
      </c>
      <c r="B5" s="4" t="s">
        <v>378</v>
      </c>
    </row>
    <row r="6" customFormat="false" ht="43.5" hidden="false" customHeight="true" outlineLevel="0" collapsed="false">
      <c r="A6" s="55" t="s">
        <v>379</v>
      </c>
      <c r="B6" s="9" t="s">
        <v>380</v>
      </c>
    </row>
    <row r="7" customFormat="false" ht="43.5" hidden="false" customHeight="true" outlineLevel="0" collapsed="false">
      <c r="A7" s="55" t="s">
        <v>381</v>
      </c>
      <c r="B7" s="9" t="s">
        <v>382</v>
      </c>
    </row>
    <row r="8" customFormat="false" ht="43.5" hidden="false" customHeight="true" outlineLevel="0" collapsed="false">
      <c r="A8" s="55" t="s">
        <v>383</v>
      </c>
      <c r="B8" s="9" t="s">
        <v>384</v>
      </c>
    </row>
    <row r="9" customFormat="false" ht="43.5" hidden="false" customHeight="true" outlineLevel="0" collapsed="false">
      <c r="A9" s="56" t="s">
        <v>385</v>
      </c>
      <c r="B9" s="9" t="s">
        <v>386</v>
      </c>
    </row>
    <row r="10" customFormat="false" ht="43.5" hidden="false" customHeight="true" outlineLevel="0" collapsed="false">
      <c r="A10" s="56" t="s">
        <v>387</v>
      </c>
      <c r="B10" s="9" t="s">
        <v>388</v>
      </c>
    </row>
    <row r="12" customFormat="false" ht="27.75" hidden="false" customHeight="true" outlineLevel="0" collapsed="false">
      <c r="A12" s="24" t="s">
        <v>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17.41"/>
    <col collapsed="false" customWidth="true" hidden="false" outlineLevel="0" max="2" min="2" style="1" width="15.22"/>
    <col collapsed="false" customWidth="true" hidden="false" outlineLevel="0" max="3" min="3" style="1" width="13.06"/>
    <col collapsed="false" customWidth="true" hidden="false" outlineLevel="0" max="5" min="4" style="1" width="47.88"/>
    <col collapsed="false" customWidth="true" hidden="false" outlineLevel="0" max="6" min="6" style="1" width="43.53"/>
  </cols>
  <sheetData>
    <row r="2" customFormat="false" ht="24" hidden="false" customHeight="true" outlineLevel="0" collapsed="false">
      <c r="A2" s="2" t="s">
        <v>390</v>
      </c>
    </row>
    <row r="3" customFormat="false" ht="15" hidden="false" customHeight="true" outlineLevel="0" collapsed="false">
      <c r="A3" s="18" t="s">
        <v>391</v>
      </c>
    </row>
    <row r="5" customFormat="false" ht="30" hidden="false" customHeight="true" outlineLevel="0" collapsed="false">
      <c r="A5" s="4" t="s">
        <v>392</v>
      </c>
      <c r="B5" s="4" t="s">
        <v>393</v>
      </c>
      <c r="C5" s="4" t="s">
        <v>394</v>
      </c>
      <c r="D5" s="4" t="s">
        <v>395</v>
      </c>
      <c r="E5" s="4" t="s">
        <v>396</v>
      </c>
      <c r="F5" s="4" t="s">
        <v>397</v>
      </c>
    </row>
    <row r="6" customFormat="false" ht="117.75" hidden="false" customHeight="true" outlineLevel="0" collapsed="false">
      <c r="A6" s="6" t="s">
        <v>398</v>
      </c>
      <c r="B6" s="57" t="s">
        <v>399</v>
      </c>
      <c r="C6" s="58" t="s">
        <v>400</v>
      </c>
      <c r="D6" s="51" t="s">
        <v>401</v>
      </c>
      <c r="E6" s="59" t="s">
        <v>402</v>
      </c>
      <c r="F6" s="21" t="s">
        <v>403</v>
      </c>
    </row>
    <row r="7" customFormat="false" ht="117.75" hidden="false" customHeight="true" outlineLevel="0" collapsed="false">
      <c r="A7" s="6" t="s">
        <v>404</v>
      </c>
      <c r="B7" s="57" t="s">
        <v>405</v>
      </c>
      <c r="C7" s="58" t="s">
        <v>406</v>
      </c>
      <c r="D7" s="51" t="s">
        <v>407</v>
      </c>
      <c r="E7" s="59" t="s">
        <v>408</v>
      </c>
      <c r="F7" s="21" t="s">
        <v>409</v>
      </c>
    </row>
    <row r="8" customFormat="false" ht="117.75" hidden="false" customHeight="true" outlineLevel="0" collapsed="false">
      <c r="A8" s="6" t="s">
        <v>410</v>
      </c>
      <c r="B8" s="57" t="s">
        <v>399</v>
      </c>
      <c r="C8" s="58" t="s">
        <v>411</v>
      </c>
      <c r="D8" s="51" t="s">
        <v>412</v>
      </c>
      <c r="E8" s="59" t="s">
        <v>413</v>
      </c>
      <c r="F8" s="21" t="s">
        <v>414</v>
      </c>
    </row>
    <row r="9" customFormat="false" ht="117.75" hidden="false" customHeight="true" outlineLevel="0" collapsed="false">
      <c r="A9" s="6" t="s">
        <v>415</v>
      </c>
      <c r="B9" s="57" t="s">
        <v>405</v>
      </c>
      <c r="C9" s="58" t="s">
        <v>416</v>
      </c>
      <c r="D9" s="51" t="s">
        <v>417</v>
      </c>
      <c r="E9" s="59" t="s">
        <v>418</v>
      </c>
      <c r="F9" s="21" t="s">
        <v>419</v>
      </c>
    </row>
    <row r="11" customFormat="false" ht="27.75" hidden="false" customHeight="true" outlineLevel="0" collapsed="false">
      <c r="A11" s="24" t="s">
        <v>420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049"/>
    <pageSetUpPr fitToPage="false"/>
  </sheetPr>
  <dimension ref="A2: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10.88"/>
    <col collapsed="false" customWidth="true" hidden="false" outlineLevel="0" max="2" min="2" style="1" width="23.94"/>
    <col collapsed="false" customWidth="true" hidden="false" outlineLevel="0" max="3" min="3" style="1" width="28.3"/>
    <col collapsed="false" customWidth="true" hidden="false" outlineLevel="0" max="4" min="4" style="1" width="65.3"/>
  </cols>
  <sheetData>
    <row r="2" customFormat="false" ht="24" hidden="false" customHeight="true" outlineLevel="0" collapsed="false">
      <c r="A2" s="2" t="s">
        <v>421</v>
      </c>
    </row>
    <row r="3" customFormat="false" ht="15" hidden="false" customHeight="true" outlineLevel="0" collapsed="false">
      <c r="A3" s="18" t="s">
        <v>422</v>
      </c>
    </row>
    <row r="5" customFormat="false" ht="30" hidden="false" customHeight="true" outlineLevel="0" collapsed="false">
      <c r="A5" s="48" t="s">
        <v>325</v>
      </c>
      <c r="B5" s="4" t="s">
        <v>423</v>
      </c>
      <c r="C5" s="4" t="s">
        <v>424</v>
      </c>
      <c r="D5" s="4" t="s">
        <v>425</v>
      </c>
    </row>
    <row r="6" customFormat="false" ht="15" hidden="false" customHeight="true" outlineLevel="0" collapsed="false">
      <c r="A6" s="28" t="n">
        <v>1</v>
      </c>
      <c r="B6" s="60" t="s">
        <v>426</v>
      </c>
      <c r="C6" s="6" t="s">
        <v>427</v>
      </c>
      <c r="D6" s="21" t="s">
        <v>428</v>
      </c>
    </row>
    <row r="7" customFormat="false" ht="15" hidden="false" customHeight="true" outlineLevel="0" collapsed="false">
      <c r="A7" s="28" t="n">
        <v>2</v>
      </c>
      <c r="B7" s="60" t="s">
        <v>429</v>
      </c>
      <c r="C7" s="6" t="s">
        <v>430</v>
      </c>
      <c r="D7" s="21" t="s">
        <v>431</v>
      </c>
    </row>
    <row r="8" customFormat="false" ht="15" hidden="false" customHeight="true" outlineLevel="0" collapsed="false">
      <c r="A8" s="28" t="n">
        <v>3</v>
      </c>
      <c r="B8" s="60" t="s">
        <v>432</v>
      </c>
      <c r="C8" s="6" t="s">
        <v>433</v>
      </c>
      <c r="D8" s="21" t="s">
        <v>434</v>
      </c>
    </row>
    <row r="9" customFormat="false" ht="15" hidden="false" customHeight="true" outlineLevel="0" collapsed="false">
      <c r="A9" s="28" t="n">
        <v>4</v>
      </c>
      <c r="B9" s="60" t="s">
        <v>435</v>
      </c>
      <c r="C9" s="6" t="s">
        <v>436</v>
      </c>
      <c r="D9" s="21" t="s">
        <v>437</v>
      </c>
    </row>
    <row r="10" customFormat="false" ht="15" hidden="false" customHeight="true" outlineLevel="0" collapsed="false">
      <c r="A10" s="28" t="n">
        <v>5</v>
      </c>
      <c r="B10" s="60" t="s">
        <v>438</v>
      </c>
      <c r="C10" s="6" t="s">
        <v>439</v>
      </c>
      <c r="D10" s="21" t="s">
        <v>440</v>
      </c>
    </row>
    <row r="11" customFormat="false" ht="15" hidden="false" customHeight="true" outlineLevel="0" collapsed="false">
      <c r="A11" s="28" t="n">
        <v>6</v>
      </c>
      <c r="B11" s="60" t="s">
        <v>441</v>
      </c>
      <c r="C11" s="6" t="s">
        <v>442</v>
      </c>
      <c r="D11" s="21" t="s">
        <v>443</v>
      </c>
    </row>
    <row r="12" customFormat="false" ht="15" hidden="false" customHeight="true" outlineLevel="0" collapsed="false">
      <c r="A12" s="28" t="n">
        <v>7</v>
      </c>
      <c r="B12" s="60" t="s">
        <v>444</v>
      </c>
      <c r="C12" s="6" t="s">
        <v>21</v>
      </c>
      <c r="D12" s="21" t="s">
        <v>445</v>
      </c>
    </row>
    <row r="13" customFormat="false" ht="15" hidden="false" customHeight="true" outlineLevel="0" collapsed="false">
      <c r="A13" s="28" t="n">
        <v>8</v>
      </c>
      <c r="B13" s="60" t="s">
        <v>446</v>
      </c>
      <c r="C13" s="6" t="s">
        <v>447</v>
      </c>
      <c r="D13" s="21" t="s">
        <v>448</v>
      </c>
    </row>
    <row r="14" customFormat="false" ht="15" hidden="false" customHeight="true" outlineLevel="0" collapsed="false">
      <c r="A14" s="28" t="n">
        <v>9</v>
      </c>
      <c r="B14" s="60" t="s">
        <v>449</v>
      </c>
      <c r="C14" s="6" t="s">
        <v>450</v>
      </c>
      <c r="D14" s="21" t="s">
        <v>450</v>
      </c>
    </row>
    <row r="15" customFormat="false" ht="15" hidden="false" customHeight="true" outlineLevel="0" collapsed="false">
      <c r="A15" s="28" t="n">
        <v>10</v>
      </c>
      <c r="B15" s="60" t="s">
        <v>451</v>
      </c>
      <c r="C15" s="6" t="s">
        <v>452</v>
      </c>
      <c r="D15" s="21" t="s">
        <v>453</v>
      </c>
    </row>
    <row r="16" customFormat="false" ht="15" hidden="false" customHeight="true" outlineLevel="0" collapsed="false">
      <c r="A16" s="28" t="n">
        <v>11</v>
      </c>
      <c r="B16" s="60" t="s">
        <v>454</v>
      </c>
      <c r="C16" s="6" t="s">
        <v>455</v>
      </c>
      <c r="D16" s="21" t="s">
        <v>456</v>
      </c>
    </row>
    <row r="17" customFormat="false" ht="15" hidden="false" customHeight="true" outlineLevel="0" collapsed="false">
      <c r="A17" s="28" t="n">
        <v>12</v>
      </c>
      <c r="B17" s="60" t="s">
        <v>457</v>
      </c>
      <c r="C17" s="6" t="s">
        <v>458</v>
      </c>
      <c r="D17" s="23" t="s">
        <v>459</v>
      </c>
    </row>
    <row r="18" customFormat="false" ht="15" hidden="false" customHeight="true" outlineLevel="0" collapsed="false">
      <c r="A18" s="28" t="n">
        <v>13</v>
      </c>
      <c r="B18" s="60" t="s">
        <v>460</v>
      </c>
      <c r="C18" s="6" t="s">
        <v>461</v>
      </c>
      <c r="D18" s="21" t="s">
        <v>462</v>
      </c>
    </row>
    <row r="19" customFormat="false" ht="15" hidden="false" customHeight="true" outlineLevel="0" collapsed="false">
      <c r="A19" s="28" t="n">
        <v>14</v>
      </c>
      <c r="B19" s="60" t="s">
        <v>463</v>
      </c>
      <c r="C19" s="6" t="s">
        <v>464</v>
      </c>
      <c r="D19" s="21" t="s">
        <v>465</v>
      </c>
    </row>
    <row r="20" customFormat="false" ht="15" hidden="false" customHeight="true" outlineLevel="0" collapsed="false">
      <c r="A20" s="28" t="n">
        <v>15</v>
      </c>
      <c r="B20" s="60" t="s">
        <v>466</v>
      </c>
      <c r="C20" s="6" t="s">
        <v>467</v>
      </c>
      <c r="D20" s="21" t="s">
        <v>468</v>
      </c>
    </row>
    <row r="21" customFormat="false" ht="15" hidden="false" customHeight="true" outlineLevel="0" collapsed="false">
      <c r="A21" s="28" t="n">
        <v>16</v>
      </c>
      <c r="B21" s="60" t="s">
        <v>469</v>
      </c>
      <c r="C21" s="6" t="s">
        <v>470</v>
      </c>
      <c r="D21" s="21" t="s">
        <v>470</v>
      </c>
    </row>
    <row r="22" customFormat="false" ht="15" hidden="false" customHeight="true" outlineLevel="0" collapsed="false">
      <c r="A22" s="28" t="n">
        <v>17</v>
      </c>
      <c r="B22" s="60" t="s">
        <v>471</v>
      </c>
      <c r="C22" s="6" t="s">
        <v>472</v>
      </c>
      <c r="D22" s="21" t="s">
        <v>473</v>
      </c>
    </row>
    <row r="23" customFormat="false" ht="15" hidden="false" customHeight="true" outlineLevel="0" collapsed="false">
      <c r="A23" s="28" t="n">
        <v>18</v>
      </c>
      <c r="B23" s="60" t="s">
        <v>474</v>
      </c>
      <c r="C23" s="6" t="s">
        <v>475</v>
      </c>
      <c r="D23" s="21" t="s">
        <v>476</v>
      </c>
    </row>
    <row r="24" customFormat="false" ht="15" hidden="false" customHeight="true" outlineLevel="0" collapsed="false">
      <c r="A24" s="28" t="n">
        <v>19</v>
      </c>
      <c r="B24" s="60" t="s">
        <v>477</v>
      </c>
      <c r="C24" s="6" t="s">
        <v>478</v>
      </c>
      <c r="D24" s="21" t="s">
        <v>479</v>
      </c>
    </row>
    <row r="25" customFormat="false" ht="15" hidden="false" customHeight="true" outlineLevel="0" collapsed="false">
      <c r="A25" s="28" t="n">
        <v>20</v>
      </c>
      <c r="B25" s="60" t="s">
        <v>480</v>
      </c>
      <c r="C25" s="6" t="s">
        <v>481</v>
      </c>
      <c r="D25" s="21" t="s">
        <v>482</v>
      </c>
    </row>
    <row r="26" customFormat="false" ht="15" hidden="false" customHeight="true" outlineLevel="0" collapsed="false">
      <c r="A26" s="28" t="n">
        <v>21</v>
      </c>
      <c r="B26" s="60" t="s">
        <v>483</v>
      </c>
      <c r="C26" s="6" t="s">
        <v>484</v>
      </c>
      <c r="D26" s="21" t="s">
        <v>485</v>
      </c>
    </row>
    <row r="28" customFormat="false" ht="27.75" hidden="false" customHeight="true" outlineLevel="0" collapsed="false">
      <c r="A28" s="24" t="s">
        <v>486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30.47"/>
    <col collapsed="false" customWidth="true" hidden="false" outlineLevel="0" max="3" min="2" style="1" width="21.78"/>
    <col collapsed="false" customWidth="true" hidden="false" outlineLevel="0" max="5" min="4" style="1" width="19.59"/>
    <col collapsed="false" customWidth="true" hidden="false" outlineLevel="0" max="6" min="6" style="1" width="76.17"/>
  </cols>
  <sheetData>
    <row r="2" customFormat="false" ht="31.5" hidden="false" customHeight="true" outlineLevel="0" collapsed="false">
      <c r="A2" s="33" t="s">
        <v>487</v>
      </c>
      <c r="B2" s="33"/>
      <c r="C2" s="33"/>
      <c r="D2" s="33"/>
      <c r="E2" s="33"/>
      <c r="F2" s="33"/>
    </row>
    <row r="3" customFormat="false" ht="48" hidden="false" customHeight="true" outlineLevel="0" collapsed="false">
      <c r="A3" s="34" t="s">
        <v>183</v>
      </c>
      <c r="B3" s="34"/>
      <c r="C3" s="34"/>
      <c r="D3" s="34"/>
      <c r="E3" s="34"/>
      <c r="F3" s="34"/>
    </row>
    <row r="5" customFormat="false" ht="15" hidden="false" customHeight="true" outlineLevel="0" collapsed="false">
      <c r="A5" s="4" t="s">
        <v>184</v>
      </c>
      <c r="B5" s="4" t="s">
        <v>488</v>
      </c>
      <c r="C5" s="4" t="s">
        <v>489</v>
      </c>
      <c r="D5" s="4" t="s">
        <v>188</v>
      </c>
      <c r="E5" s="4" t="s">
        <v>189</v>
      </c>
      <c r="F5" s="4" t="s">
        <v>52</v>
      </c>
    </row>
    <row r="6" customFormat="false" ht="63.75" hidden="false" customHeight="true" outlineLevel="0" collapsed="false">
      <c r="A6" s="35" t="s">
        <v>99</v>
      </c>
      <c r="B6" s="38" t="s">
        <v>490</v>
      </c>
      <c r="C6" s="37" t="n">
        <f aca="false">料金レバー!$C$7</f>
        <v>79800</v>
      </c>
      <c r="D6" s="37" t="n">
        <f aca="false">ROUNDDOWN(C6*料金レバー!$C$12,0)</f>
        <v>39900</v>
      </c>
      <c r="E6" s="37" t="n">
        <f aca="false">C6-D6</f>
        <v>39900</v>
      </c>
      <c r="F6" s="35" t="s">
        <v>191</v>
      </c>
    </row>
    <row r="7" customFormat="false" ht="63.75" hidden="false" customHeight="true" outlineLevel="0" collapsed="false">
      <c r="A7" s="35" t="s">
        <v>102</v>
      </c>
      <c r="B7" s="38" t="s">
        <v>491</v>
      </c>
      <c r="C7" s="37" t="n">
        <f aca="false">料金レバー!$C$8</f>
        <v>198000</v>
      </c>
      <c r="D7" s="37" t="n">
        <f aca="false">ROUNDDOWN(C7*料金レバー!$C$12,0)</f>
        <v>99000</v>
      </c>
      <c r="E7" s="37" t="n">
        <f aca="false">C7-D7</f>
        <v>99000</v>
      </c>
      <c r="F7" s="35" t="s">
        <v>192</v>
      </c>
    </row>
    <row r="8" customFormat="false" ht="63.75" hidden="false" customHeight="true" outlineLevel="0" collapsed="false">
      <c r="A8" s="35" t="s">
        <v>104</v>
      </c>
      <c r="B8" s="38" t="s">
        <v>492</v>
      </c>
      <c r="C8" s="37" t="n">
        <f aca="false">料金レバー!$C$9</f>
        <v>398000</v>
      </c>
      <c r="D8" s="37" t="n">
        <f aca="false">ROUNDDOWN(C8*料金レバー!$C$12,0)</f>
        <v>199000</v>
      </c>
      <c r="E8" s="37" t="n">
        <f aca="false">C8-D8</f>
        <v>199000</v>
      </c>
      <c r="F8" s="35" t="s">
        <v>193</v>
      </c>
    </row>
    <row r="11" customFormat="false" ht="63.75" hidden="false" customHeight="true" outlineLevel="0" collapsed="false">
      <c r="A11" s="35" t="s">
        <v>132</v>
      </c>
      <c r="B11" s="38" t="s">
        <v>493</v>
      </c>
      <c r="C11" s="37" t="n">
        <f aca="false">料金レバー!$C$23</f>
        <v>0</v>
      </c>
      <c r="D11" s="35"/>
      <c r="E11" s="35"/>
      <c r="F11" s="35" t="s">
        <v>204</v>
      </c>
    </row>
    <row r="12" customFormat="false" ht="63.75" hidden="false" customHeight="true" outlineLevel="0" collapsed="false">
      <c r="A12" s="35" t="s">
        <v>126</v>
      </c>
      <c r="B12" s="38" t="s">
        <v>493</v>
      </c>
      <c r="C12" s="37" t="n">
        <f aca="false">料金レバー!$C$20</f>
        <v>4800</v>
      </c>
      <c r="D12" s="35"/>
      <c r="E12" s="35"/>
      <c r="F12" s="35" t="s">
        <v>205</v>
      </c>
    </row>
    <row r="13" customFormat="false" ht="63.75" hidden="false" customHeight="true" outlineLevel="0" collapsed="false">
      <c r="A13" s="35" t="s">
        <v>128</v>
      </c>
      <c r="B13" s="38" t="s">
        <v>494</v>
      </c>
      <c r="C13" s="37" t="n">
        <f aca="false">料金レバー!$C$21</f>
        <v>9800</v>
      </c>
      <c r="D13" s="35"/>
      <c r="E13" s="35"/>
      <c r="F13" s="35" t="s">
        <v>206</v>
      </c>
    </row>
    <row r="14" customFormat="false" ht="63.75" hidden="false" customHeight="true" outlineLevel="0" collapsed="false">
      <c r="A14" s="35" t="s">
        <v>130</v>
      </c>
      <c r="B14" s="38" t="s">
        <v>495</v>
      </c>
      <c r="C14" s="37" t="n">
        <f aca="false">料金レバー!$C$22</f>
        <v>29800</v>
      </c>
      <c r="D14" s="35"/>
      <c r="E14" s="35"/>
      <c r="F14" s="35" t="s">
        <v>207</v>
      </c>
    </row>
    <row r="16" customFormat="false" ht="64.5" hidden="false" customHeight="true" outlineLevel="0" collapsed="false">
      <c r="A16" s="34" t="s">
        <v>496</v>
      </c>
      <c r="B16" s="34"/>
      <c r="C16" s="34"/>
      <c r="D16" s="34"/>
      <c r="E16" s="34"/>
      <c r="F16" s="34"/>
    </row>
    <row r="18" customFormat="false" ht="64.5" hidden="false" customHeight="true" outlineLevel="0" collapsed="false">
      <c r="A18" s="34" t="s">
        <v>497</v>
      </c>
      <c r="B18" s="34"/>
      <c r="C18" s="34"/>
      <c r="D18" s="34"/>
      <c r="E18" s="34"/>
      <c r="F18" s="34"/>
    </row>
  </sheetData>
  <mergeCells count="4">
    <mergeCell ref="A2:F2"/>
    <mergeCell ref="A3:F3"/>
    <mergeCell ref="A16:F16"/>
    <mergeCell ref="A18:F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9.4453125" defaultRowHeight="15" customHeight="false" zeroHeight="false" outlineLevelRow="0" outlineLevelCol="0"/>
  <cols>
    <col collapsed="false" customWidth="true" hidden="false" outlineLevel="0" max="1" min="1" style="1" width="28.3"/>
    <col collapsed="false" customWidth="true" hidden="false" outlineLevel="0" max="3" min="2" style="1" width="18.5"/>
    <col collapsed="false" customWidth="true" hidden="false" outlineLevel="0" max="4" min="4" style="1" width="21.78"/>
    <col collapsed="false" customWidth="true" hidden="false" outlineLevel="0" max="6" min="5" style="1" width="20.68"/>
    <col collapsed="false" customWidth="true" hidden="false" outlineLevel="0" max="7" min="7" style="1" width="23.94"/>
  </cols>
  <sheetData>
    <row r="2" customFormat="false" ht="31.5" hidden="false" customHeight="true" outlineLevel="0" collapsed="false">
      <c r="A2" s="39" t="s">
        <v>255</v>
      </c>
      <c r="B2" s="39"/>
      <c r="C2" s="39"/>
      <c r="D2" s="39"/>
      <c r="E2" s="39"/>
      <c r="F2" s="39"/>
      <c r="G2" s="39"/>
    </row>
    <row r="3" customFormat="false" ht="48" hidden="false" customHeight="true" outlineLevel="0" collapsed="false">
      <c r="A3" s="34" t="s">
        <v>256</v>
      </c>
      <c r="B3" s="34"/>
      <c r="C3" s="34"/>
      <c r="D3" s="34"/>
      <c r="E3" s="34"/>
      <c r="F3" s="34"/>
      <c r="G3" s="34"/>
    </row>
    <row r="5" customFormat="false" ht="15" hidden="false" customHeight="true" outlineLevel="0" collapsed="false">
      <c r="A5" s="4" t="s">
        <v>184</v>
      </c>
      <c r="B5" s="4" t="s">
        <v>187</v>
      </c>
      <c r="C5" s="4" t="s">
        <v>257</v>
      </c>
      <c r="D5" s="4" t="s">
        <v>258</v>
      </c>
      <c r="E5" s="4" t="s">
        <v>259</v>
      </c>
      <c r="F5" s="4" t="s">
        <v>260</v>
      </c>
      <c r="G5" s="4" t="s">
        <v>261</v>
      </c>
    </row>
    <row r="6" customFormat="false" ht="63.75" hidden="false" customHeight="true" outlineLevel="0" collapsed="false">
      <c r="A6" s="35" t="s">
        <v>99</v>
      </c>
      <c r="B6" s="37" t="n">
        <f aca="false">料金レバー!$C$7</f>
        <v>79800</v>
      </c>
      <c r="C6" s="37" t="n">
        <f aca="false">料金レバー!$C$20</f>
        <v>4800</v>
      </c>
      <c r="D6" s="37" t="n">
        <f aca="false">料金レバー!$C$16</f>
        <v>3500</v>
      </c>
      <c r="E6" s="37" t="n">
        <f aca="false">B6+(C6+D6)*料金レバー!$C$25</f>
        <v>378600</v>
      </c>
      <c r="F6" s="37" t="n">
        <f aca="false">料金レバー!$C$29+料金レバー!$C$26*料金レバー!$C$25</f>
        <v>357800</v>
      </c>
      <c r="G6" s="37" t="n">
        <f aca="false">E6-F6</f>
        <v>20800</v>
      </c>
    </row>
    <row r="7" customFormat="false" ht="63.75" hidden="false" customHeight="true" outlineLevel="0" collapsed="false">
      <c r="A7" s="35" t="s">
        <v>102</v>
      </c>
      <c r="B7" s="37" t="n">
        <f aca="false">料金レバー!$C$8</f>
        <v>198000</v>
      </c>
      <c r="C7" s="37" t="n">
        <f aca="false">料金レバー!$C$20</f>
        <v>4800</v>
      </c>
      <c r="D7" s="37" t="n">
        <f aca="false">料金レバー!$C$16</f>
        <v>3500</v>
      </c>
      <c r="E7" s="37" t="n">
        <f aca="false">B7+(C7+D7)*料金レバー!$C$25</f>
        <v>496800</v>
      </c>
      <c r="F7" s="37" t="n">
        <f aca="false">料金レバー!$C$29+料金レバー!$C$27*料金レバー!$C$25</f>
        <v>537800</v>
      </c>
      <c r="G7" s="37" t="n">
        <f aca="false">E7-F7</f>
        <v>-41000</v>
      </c>
    </row>
    <row r="8" customFormat="false" ht="63.75" hidden="false" customHeight="true" outlineLevel="0" collapsed="false">
      <c r="A8" s="35" t="s">
        <v>104</v>
      </c>
      <c r="B8" s="37" t="n">
        <f aca="false">料金レバー!$C$9</f>
        <v>398000</v>
      </c>
      <c r="C8" s="37" t="n">
        <f aca="false">料金レバー!$C$20</f>
        <v>4800</v>
      </c>
      <c r="D8" s="37" t="n">
        <f aca="false">料金レバー!$C$16</f>
        <v>3500</v>
      </c>
      <c r="E8" s="37" t="n">
        <f aca="false">B8+(C8+D8)*料金レバー!$C$25</f>
        <v>696800</v>
      </c>
      <c r="F8" s="37" t="n">
        <f aca="false">料金レバー!$C$29+料金レバー!$C$28*料金レバー!$C$25</f>
        <v>717800</v>
      </c>
      <c r="G8" s="37" t="n">
        <f aca="false">E8-F8</f>
        <v>-21000</v>
      </c>
    </row>
    <row r="10" customFormat="false" ht="63.75" hidden="false" customHeight="true" outlineLevel="0" collapsed="false">
      <c r="A10" s="35" t="s">
        <v>262</v>
      </c>
      <c r="B10" s="37" t="n">
        <f aca="false">料金レバー!$C$8</f>
        <v>198000</v>
      </c>
      <c r="C10" s="37" t="n">
        <f aca="false">料金レバー!$C$21</f>
        <v>9800</v>
      </c>
      <c r="D10" s="37" t="n">
        <f aca="false">料金レバー!$C$16</f>
        <v>3500</v>
      </c>
      <c r="E10" s="37" t="n">
        <f aca="false">B10+(C10+D10)*料金レバー!$C$25</f>
        <v>676800</v>
      </c>
      <c r="F10" s="37" t="n">
        <f aca="false">料金レバー!$C$29+料金レバー!$C$27*料金レバー!$C$25</f>
        <v>537800</v>
      </c>
      <c r="G10" s="37" t="n">
        <f aca="false">E10-F10</f>
        <v>139000</v>
      </c>
    </row>
    <row r="12" customFormat="false" ht="64.5" hidden="false" customHeight="true" outlineLevel="0" collapsed="false">
      <c r="A12" s="34" t="s">
        <v>263</v>
      </c>
      <c r="B12" s="34"/>
      <c r="C12" s="34"/>
      <c r="D12" s="34"/>
      <c r="E12" s="34"/>
      <c r="F12" s="34"/>
      <c r="G12" s="34"/>
    </row>
    <row r="14" customFormat="false" ht="64.5" hidden="false" customHeight="true" outlineLevel="0" collapsed="false">
      <c r="A14" s="34" t="s">
        <v>264</v>
      </c>
      <c r="B14" s="34"/>
      <c r="C14" s="34"/>
      <c r="D14" s="34"/>
      <c r="E14" s="34"/>
      <c r="F14" s="34"/>
      <c r="G14" s="34"/>
    </row>
  </sheetData>
  <mergeCells count="4">
    <mergeCell ref="A2:G2"/>
    <mergeCell ref="A3:G3"/>
    <mergeCell ref="A12:G12"/>
    <mergeCell ref="A14:G1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453125" defaultRowHeight="15" customHeight="false" zeroHeight="false" outlineLevelRow="0" outlineLevelCol="0"/>
  <cols>
    <col collapsed="false" customWidth="true" hidden="false" outlineLevel="0" max="1" min="1" style="1" width="41.35"/>
    <col collapsed="false" customWidth="true" hidden="false" outlineLevel="0" max="2" min="2" style="1" width="26.12"/>
    <col collapsed="false" customWidth="true" hidden="false" outlineLevel="0" max="3" min="3" style="1" width="92.5"/>
  </cols>
  <sheetData>
    <row r="1" customFormat="false" ht="15" hidden="false" customHeight="true" outlineLevel="0" collapsed="false">
      <c r="A1" s="1" t="s">
        <v>50</v>
      </c>
      <c r="B1" s="1" t="s">
        <v>498</v>
      </c>
      <c r="C1" s="1" t="s">
        <v>499</v>
      </c>
    </row>
    <row r="2" customFormat="false" ht="63.75" hidden="false" customHeight="true" outlineLevel="0" collapsed="false">
      <c r="A2" s="35" t="s">
        <v>162</v>
      </c>
      <c r="B2" s="61" t="n">
        <f aca="false">料金レバー!$C$45</f>
        <v>140</v>
      </c>
      <c r="C2" s="35" t="s">
        <v>163</v>
      </c>
    </row>
    <row r="3" customFormat="false" ht="63.75" hidden="false" customHeight="true" outlineLevel="0" collapsed="false">
      <c r="A3" s="35" t="s">
        <v>500</v>
      </c>
      <c r="B3" s="61" t="n">
        <f aca="false">料金レバー!$C$46</f>
        <v>28</v>
      </c>
      <c r="C3" s="35" t="s">
        <v>501</v>
      </c>
    </row>
    <row r="4" customFormat="false" ht="63.75" hidden="false" customHeight="true" outlineLevel="0" collapsed="false">
      <c r="A4" s="35" t="s">
        <v>166</v>
      </c>
      <c r="B4" s="61" t="n">
        <f aca="false">料金レバー!$C$47</f>
        <v>28</v>
      </c>
      <c r="C4" s="35" t="s">
        <v>501</v>
      </c>
    </row>
    <row r="5" customFormat="false" ht="63.75" hidden="false" customHeight="true" outlineLevel="0" collapsed="false">
      <c r="A5" s="35" t="s">
        <v>502</v>
      </c>
      <c r="B5" s="62" t="n">
        <f aca="false">B2-B3-B4</f>
        <v>84</v>
      </c>
      <c r="C5" s="35" t="s">
        <v>503</v>
      </c>
    </row>
    <row r="6" customFormat="false" ht="63.75" hidden="false" customHeight="true" outlineLevel="0" collapsed="false">
      <c r="A6" s="35" t="s">
        <v>167</v>
      </c>
      <c r="B6" s="61" t="n">
        <f aca="false">料金レバー!$C$48</f>
        <v>5000</v>
      </c>
      <c r="C6" s="35" t="s">
        <v>504</v>
      </c>
    </row>
    <row r="7" customFormat="false" ht="63.75" hidden="false" customHeight="true" outlineLevel="0" collapsed="false">
      <c r="A7" s="35" t="s">
        <v>505</v>
      </c>
      <c r="B7" s="62" t="n">
        <f aca="false">B2*B6</f>
        <v>700000</v>
      </c>
      <c r="C7" s="35" t="s">
        <v>506</v>
      </c>
    </row>
    <row r="8" customFormat="false" ht="63.75" hidden="false" customHeight="true" outlineLevel="0" collapsed="false">
      <c r="A8" s="35" t="s">
        <v>507</v>
      </c>
      <c r="B8" s="61" t="n">
        <f aca="false">料金レバー!$C$49+料金レバー!$C$50</f>
        <v>41</v>
      </c>
      <c r="C8" s="35" t="s">
        <v>508</v>
      </c>
    </row>
    <row r="9" customFormat="false" ht="63.75" hidden="false" customHeight="true" outlineLevel="0" collapsed="false">
      <c r="A9" s="35" t="s">
        <v>509</v>
      </c>
      <c r="B9" s="61" t="n">
        <f aca="false">料金レバー!$C$51*料金レバー!$C$54+料金レバー!$C$52*料金レバー!$C$55+料金レバー!$C$53*料金レバー!$C$56</f>
        <v>28.5</v>
      </c>
      <c r="C9" s="35" t="s">
        <v>510</v>
      </c>
    </row>
    <row r="10" customFormat="false" ht="63.75" hidden="false" customHeight="true" outlineLevel="0" collapsed="false">
      <c r="A10" s="35" t="s">
        <v>511</v>
      </c>
      <c r="B10" s="62" t="n">
        <f aca="false">B5-B8-B9</f>
        <v>14.5</v>
      </c>
      <c r="C10" s="35" t="s">
        <v>512</v>
      </c>
    </row>
    <row r="11" customFormat="false" ht="63.75" hidden="false" customHeight="true" outlineLevel="0" collapsed="false">
      <c r="A11" s="38" t="s">
        <v>513</v>
      </c>
      <c r="B11" s="62" t="n">
        <f aca="false">B5-(B8+B9)*(1+料金レバー!$C$57)</f>
        <v>-2.875</v>
      </c>
      <c r="C11" s="35" t="s">
        <v>514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2026-09-13T22:41:09Z</dcterms:created>
  <dc:creator>openpyxl</dc:creator>
  <dc:description/>
  <dc:language>en-US</dc:language>
  <cp:lastModifiedBy/>
  <dcterms:modified xsi:type="dcterms:W3CDTF">2026-09-14T10:52:18Z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