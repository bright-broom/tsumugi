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事業の基本" sheetId="2" state="visible" r:id="rId4"/>
    <sheet name="料金レバー" sheetId="3" state="visible" r:id="rId5"/>
    <sheet name="制作プラン" sheetId="4" state="visible" r:id="rId6"/>
    <sheet name="運用プラン" sheetId="5" state="visible" r:id="rId7"/>
    <sheet name="オプション・標準装備" sheetId="6" state="visible" r:id="rId8"/>
    <sheet name="無制限の範囲" sheetId="7" state="visible" r:id="rId9"/>
    <sheet name="月額制との比較" sheetId="8" state="visible" r:id="rId10"/>
    <sheet name="補助金" sheetId="9" state="visible" r:id="rId11"/>
    <sheet name="ポータル掲載費" sheetId="10" state="visible" r:id="rId12"/>
    <sheet name="納品する仕様20" sheetId="11" state="visible" r:id="rId13"/>
    <sheet name="売らないもの" sheetId="12" state="visible" r:id="rId14"/>
    <sheet name="業種別" sheetId="13" state="visible" r:id="rId15"/>
    <sheet name="ページ一覧" sheetId="14" state="visible" r:id="rId16"/>
    <sheet name="配布用_料金表" sheetId="15" state="visible" r:id="rId17"/>
    <sheet name="配布用_36か月の総額" sheetId="16" state="visible" r:id="rId18"/>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H7" authorId="0">
      <text>
        <r>
          <rPr>
            <sz val="10"/>
            <rFont val="Noto Sans CJK SC"/>
            <family val="2"/>
          </rPr>
          <t xml:space="preserve">買い切りと分割の総額が一致していることの検算。</t>
        </r>
        <r>
          <rPr>
            <sz val="10"/>
            <rFont val="Arial"/>
            <family val="2"/>
          </rPr>
          <t xml:space="preserve">0</t>
        </r>
        <r>
          <rPr>
            <sz val="10"/>
            <rFont val="Noto Sans CJK SC"/>
            <family val="2"/>
          </rPr>
          <t xml:space="preserve">以外が出たら『料金レバー』の初回か月額が合っていない。</t>
        </r>
      </text>
    </comment>
    <comment ref="H8" authorId="0">
      <text>
        <r>
          <rPr>
            <sz val="10"/>
            <rFont val="Noto Sans CJK SC"/>
            <family val="2"/>
          </rPr>
          <t xml:space="preserve">買い切りと分割の総額が一致していることの検算。</t>
        </r>
        <r>
          <rPr>
            <sz val="10"/>
            <rFont val="Arial"/>
            <family val="2"/>
          </rPr>
          <t xml:space="preserve">0</t>
        </r>
        <r>
          <rPr>
            <sz val="10"/>
            <rFont val="Noto Sans CJK SC"/>
            <family val="2"/>
          </rPr>
          <t xml:space="preserve">以外が出たら『料金レバー』の初回か月額が合っていない。</t>
        </r>
      </text>
    </comment>
    <comment ref="H9" authorId="0">
      <text>
        <r>
          <rPr>
            <sz val="10"/>
            <rFont val="Noto Sans CJK SC"/>
            <family val="2"/>
          </rPr>
          <t xml:space="preserve">買い切りと分割の総額が一致していることの検算。</t>
        </r>
        <r>
          <rPr>
            <sz val="10"/>
            <rFont val="Arial"/>
            <family val="2"/>
          </rPr>
          <t xml:space="preserve">0</t>
        </r>
        <r>
          <rPr>
            <sz val="10"/>
            <rFont val="Noto Sans CJK SC"/>
            <family val="2"/>
          </rPr>
          <t xml:space="preserve">以外が出たら『料金レバー』の初回か月額が合っていない。</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J6" authorId="0">
      <text>
        <r>
          <rPr>
            <sz val="10"/>
            <rFont val="Noto Sans CJK SC"/>
            <family val="2"/>
          </rPr>
          <t xml:space="preserve">マイナス＝紬のほうが安い。プラス＝紬のほうが高い。高い行を隠さないのは、差の中身（撮影・取材・修正回数・マップ運用）を説明できるから。</t>
        </r>
      </text>
    </comment>
    <comment ref="J7" authorId="0">
      <text>
        <r>
          <rPr>
            <sz val="10"/>
            <rFont val="Noto Sans CJK SC"/>
            <family val="2"/>
          </rPr>
          <t xml:space="preserve">マイナス＝紬のほうが安い。プラス＝紬のほうが高い。高い行を隠さないのは、差の中身（撮影・取材・修正回数・マップ運用）を説明できるから。</t>
        </r>
      </text>
    </comment>
    <comment ref="J8" authorId="0">
      <text>
        <r>
          <rPr>
            <sz val="10"/>
            <rFont val="Noto Sans CJK SC"/>
            <family val="2"/>
          </rPr>
          <t xml:space="preserve">マイナス＝紬のほうが安い。プラス＝紬のほうが高い。高い行を隠さないのは、差の中身（撮影・取材・修正回数・マップ運用）を説明できるから。</t>
        </r>
      </text>
    </comment>
  </commentList>
</comments>
</file>

<file path=xl/sharedStrings.xml><?xml version="1.0" encoding="utf-8"?>
<sst xmlns="http://schemas.openxmlformats.org/spreadsheetml/2006/main" count="777" uniqueCount="577">
  <si>
    <t xml:space="preserve">紬（つむぎ）｜この事業の変わらない中身</t>
  </si>
  <si>
    <r>
      <rPr>
        <sz val="9.5"/>
        <color rgb="FF5A6B7B"/>
        <rFont val="Noto Sans CJK SC"/>
        <family val="2"/>
      </rPr>
      <t xml:space="preserve">ホームページ制作・運用事業の数字と決めごとを</t>
    </r>
    <r>
      <rPr>
        <sz val="9.5"/>
        <color rgb="FF5A6B7B"/>
        <rFont val="游ゴシック"/>
        <family val="0"/>
        <charset val="1"/>
      </rPr>
      <t xml:space="preserve">1</t>
    </r>
    <r>
      <rPr>
        <sz val="9.5"/>
        <color rgb="FF5A6B7B"/>
        <rFont val="Noto Sans CJK SC"/>
        <family val="2"/>
      </rPr>
      <t xml:space="preserve">冊にまとめたもの。出所は </t>
    </r>
    <r>
      <rPr>
        <sz val="9.5"/>
        <color rgb="FF5A6B7B"/>
        <rFont val="游ゴシック"/>
        <family val="0"/>
        <charset val="1"/>
      </rPr>
      <t xml:space="preserve">svc-astro/src/data/*.ts</t>
    </r>
    <r>
      <rPr>
        <sz val="9.5"/>
        <color rgb="FF5A6B7B"/>
        <rFont val="Noto Sans CJK SC"/>
        <family val="2"/>
      </rPr>
      <t xml:space="preserve">（サイトが読んでいるのと同じファイル）。</t>
    </r>
  </si>
  <si>
    <t xml:space="preserve">シート</t>
  </si>
  <si>
    <t xml:space="preserve">何が入っているか</t>
  </si>
  <si>
    <t xml:space="preserve">性格</t>
  </si>
  <si>
    <t xml:space="preserve">台帳</t>
  </si>
  <si>
    <t xml:space="preserve">料金レバー</t>
  </si>
  <si>
    <t xml:space="preserve">すべての金額の入力欄。青い数字がここにだけある。ここを直すと他のシートが追随する</t>
  </si>
  <si>
    <t xml:space="preserve">直す</t>
  </si>
  <si>
    <t xml:space="preserve">制作プラン</t>
  </si>
  <si>
    <r>
      <rPr>
        <sz val="9.5"/>
        <color rgb="FF111C29"/>
        <rFont val="游ゴシック"/>
        <family val="0"/>
        <charset val="1"/>
      </rPr>
      <t xml:space="preserve">3</t>
    </r>
    <r>
      <rPr>
        <sz val="9.5"/>
        <color rgb="FF111C29"/>
        <rFont val="Noto Sans CJK SC"/>
        <family val="2"/>
      </rPr>
      <t xml:space="preserve">プラン＋シングル。買い切り／分割初回／分割月額／分割総額／毎月の合計</t>
    </r>
  </si>
  <si>
    <t xml:space="preserve">計算</t>
  </si>
  <si>
    <t xml:space="preserve">運用プラン</t>
  </si>
  <si>
    <r>
      <rPr>
        <sz val="9.5"/>
        <color rgb="FF111C29"/>
        <rFont val="游ゴシック"/>
        <family val="0"/>
        <charset val="1"/>
      </rPr>
      <t xml:space="preserve">4</t>
    </r>
    <r>
      <rPr>
        <sz val="9.5"/>
        <color rgb="FF111C29"/>
        <rFont val="Noto Sans CJK SC"/>
        <family val="2"/>
      </rPr>
      <t xml:space="preserve">プラン。月額と、含まれるもの</t>
    </r>
  </si>
  <si>
    <t xml:space="preserve">オプション・標準装備</t>
  </si>
  <si>
    <r>
      <rPr>
        <sz val="9.5"/>
        <color rgb="FF111C29"/>
        <rFont val="Noto Sans CJK SC"/>
        <family val="2"/>
      </rPr>
      <t xml:space="preserve">別途いただくもの</t>
    </r>
    <r>
      <rPr>
        <sz val="9.5"/>
        <color rgb="FF111C29"/>
        <rFont val="游ゴシック"/>
        <family val="0"/>
        <charset val="1"/>
      </rPr>
      <t xml:space="preserve">8</t>
    </r>
    <r>
      <rPr>
        <sz val="9.5"/>
        <color rgb="FF111C29"/>
        <rFont val="Noto Sans CJK SC"/>
        <family val="2"/>
      </rPr>
      <t xml:space="preserve">件と、標準で含むもの</t>
    </r>
    <r>
      <rPr>
        <sz val="9.5"/>
        <color rgb="FF111C29"/>
        <rFont val="游ゴシック"/>
        <family val="0"/>
        <charset val="1"/>
      </rPr>
      <t xml:space="preserve">5</t>
    </r>
    <r>
      <rPr>
        <sz val="9.5"/>
        <color rgb="FF111C29"/>
        <rFont val="Noto Sans CJK SC"/>
        <family val="2"/>
      </rPr>
      <t xml:space="preserve">件</t>
    </r>
  </si>
  <si>
    <t xml:space="preserve">読む</t>
  </si>
  <si>
    <t xml:space="preserve">無制限の範囲</t>
  </si>
  <si>
    <r>
      <rPr>
        <sz val="9.5"/>
        <color rgb="FF111C29"/>
        <rFont val="Noto Sans CJK SC"/>
        <family val="2"/>
      </rPr>
      <t xml:space="preserve">何回でも無料の</t>
    </r>
    <r>
      <rPr>
        <sz val="9.5"/>
        <color rgb="FF111C29"/>
        <rFont val="游ゴシック"/>
        <family val="0"/>
        <charset val="1"/>
      </rPr>
      <t xml:space="preserve">9</t>
    </r>
    <r>
      <rPr>
        <sz val="9.5"/>
        <color rgb="FF111C29"/>
        <rFont val="Noto Sans CJK SC"/>
        <family val="2"/>
      </rPr>
      <t xml:space="preserve">件と、別途お見積りの</t>
    </r>
    <r>
      <rPr>
        <sz val="9.5"/>
        <color rgb="FF111C29"/>
        <rFont val="游ゴシック"/>
        <family val="0"/>
        <charset val="1"/>
      </rPr>
      <t xml:space="preserve">6</t>
    </r>
    <r>
      <rPr>
        <sz val="9.5"/>
        <color rgb="FF111C29"/>
        <rFont val="Noto Sans CJK SC"/>
        <family val="2"/>
      </rPr>
      <t xml:space="preserve">件</t>
    </r>
  </si>
  <si>
    <t xml:space="preserve">月額制との比較</t>
  </si>
  <si>
    <r>
      <rPr>
        <sz val="9.5"/>
        <color rgb="FF111C29"/>
        <rFont val="游ゴシック"/>
        <family val="0"/>
        <charset val="1"/>
      </rPr>
      <t xml:space="preserve">36</t>
    </r>
    <r>
      <rPr>
        <sz val="9.5"/>
        <color rgb="FF111C29"/>
        <rFont val="Noto Sans CJK SC"/>
        <family val="2"/>
      </rPr>
      <t xml:space="preserve">か月の総額。当方が高くなる行も残してある</t>
    </r>
  </si>
  <si>
    <t xml:space="preserve">補助金</t>
  </si>
  <si>
    <t xml:space="preserve">持続化補助金のパッケージと、補助額・自己負担の計算</t>
  </si>
  <si>
    <t xml:space="preserve">ポータル掲載費</t>
  </si>
  <si>
    <r>
      <rPr>
        <sz val="9.5"/>
        <color rgb="FF111C29"/>
        <rFont val="Noto Sans CJK SC"/>
        <family val="2"/>
      </rPr>
      <t xml:space="preserve">食べログの各プランと、</t>
    </r>
    <r>
      <rPr>
        <sz val="9.5"/>
        <color rgb="FF111C29"/>
        <rFont val="游ゴシック"/>
        <family val="0"/>
        <charset val="1"/>
      </rPr>
      <t xml:space="preserve">1</t>
    </r>
    <r>
      <rPr>
        <sz val="9.5"/>
        <color rgb="FF111C29"/>
        <rFont val="Noto Sans CJK SC"/>
        <family val="2"/>
      </rPr>
      <t xml:space="preserve">段下げた差額で運用費が出るか</t>
    </r>
  </si>
  <si>
    <t xml:space="preserve">中身</t>
  </si>
  <si>
    <r>
      <rPr>
        <b val="true"/>
        <sz val="10"/>
        <color rgb="FF111C29"/>
        <rFont val="Noto Sans CJK SC"/>
        <family val="2"/>
      </rPr>
      <t xml:space="preserve">納品する仕様</t>
    </r>
    <r>
      <rPr>
        <b val="true"/>
        <sz val="10"/>
        <color rgb="FF111C29"/>
        <rFont val="游ゴシック"/>
        <family val="0"/>
        <charset val="1"/>
      </rPr>
      <t xml:space="preserve">20</t>
    </r>
  </si>
  <si>
    <r>
      <rPr>
        <sz val="9.5"/>
        <color rgb="FF111C29"/>
        <rFont val="Noto Sans CJK SC"/>
        <family val="2"/>
      </rPr>
      <t xml:space="preserve">全業種共通の</t>
    </r>
    <r>
      <rPr>
        <sz val="9.5"/>
        <color rgb="FF111C29"/>
        <rFont val="游ゴシック"/>
        <family val="0"/>
        <charset val="1"/>
      </rPr>
      <t xml:space="preserve">20</t>
    </r>
    <r>
      <rPr>
        <sz val="9.5"/>
        <color rgb="FF111C29"/>
        <rFont val="Noto Sans CJK SC"/>
        <family val="2"/>
      </rPr>
      <t xml:space="preserve">項目と、その根拠</t>
    </r>
  </si>
  <si>
    <t xml:space="preserve">売らないもの</t>
  </si>
  <si>
    <r>
      <rPr>
        <sz val="9.5"/>
        <color rgb="FF111C29"/>
        <rFont val="Noto Sans CJK SC"/>
        <family val="2"/>
      </rPr>
      <t xml:space="preserve">売らないと決めた</t>
    </r>
    <r>
      <rPr>
        <sz val="9.5"/>
        <color rgb="FF111C29"/>
        <rFont val="游ゴシック"/>
        <family val="0"/>
        <charset val="1"/>
      </rPr>
      <t xml:space="preserve">5</t>
    </r>
    <r>
      <rPr>
        <sz val="9.5"/>
        <color rgb="FF111C29"/>
        <rFont val="Noto Sans CJK SC"/>
        <family val="2"/>
      </rPr>
      <t xml:space="preserve">件と、その理由</t>
    </r>
  </si>
  <si>
    <t xml:space="preserve">業種別</t>
  </si>
  <si>
    <r>
      <rPr>
        <sz val="9.5"/>
        <color rgb="FF111C29"/>
        <rFont val="游ゴシック"/>
        <family val="0"/>
        <charset val="1"/>
      </rPr>
      <t xml:space="preserve">4</t>
    </r>
    <r>
      <rPr>
        <sz val="9.5"/>
        <color rgb="FF111C29"/>
        <rFont val="Noto Sans CJK SC"/>
        <family val="2"/>
      </rPr>
      <t xml:space="preserve">業種の必ず入れるもの／作らないもの／財源／推奨プラン</t>
    </r>
  </si>
  <si>
    <t xml:space="preserve">ページ一覧</t>
  </si>
  <si>
    <r>
      <rPr>
        <sz val="9.5"/>
        <color rgb="FF111C29"/>
        <rFont val="Noto Sans CJK SC"/>
        <family val="2"/>
      </rPr>
      <t xml:space="preserve">サイトの</t>
    </r>
    <r>
      <rPr>
        <sz val="9.5"/>
        <color rgb="FF111C29"/>
        <rFont val="游ゴシック"/>
        <family val="0"/>
        <charset val="1"/>
      </rPr>
      <t xml:space="preserve">21</t>
    </r>
    <r>
      <rPr>
        <sz val="9.5"/>
        <color rgb="FF111C29"/>
        <rFont val="Noto Sans CJK SC"/>
        <family val="2"/>
      </rPr>
      <t xml:space="preserve">ページ</t>
    </r>
  </si>
  <si>
    <t xml:space="preserve">事業の基本</t>
  </si>
  <si>
    <t xml:space="preserve">屋号・対応エリア・約束・実測値</t>
  </si>
  <si>
    <t xml:space="preserve">配布</t>
  </si>
  <si>
    <r>
      <rPr>
        <b val="true"/>
        <sz val="10"/>
        <color rgb="FF111C29"/>
        <rFont val="Noto Sans CJK SC"/>
        <family val="2"/>
      </rPr>
      <t xml:space="preserve">配布用</t>
    </r>
    <r>
      <rPr>
        <b val="true"/>
        <sz val="10"/>
        <color rgb="FF111C29"/>
        <rFont val="游ゴシック"/>
        <family val="0"/>
        <charset val="1"/>
      </rPr>
      <t xml:space="preserve">_</t>
    </r>
    <r>
      <rPr>
        <b val="true"/>
        <sz val="10"/>
        <color rgb="FF111C29"/>
        <rFont val="Noto Sans CJK SC"/>
        <family val="2"/>
      </rPr>
      <t xml:space="preserve">料金表</t>
    </r>
  </si>
  <si>
    <t xml:space="preserve">お客様にそのまま見せられる料金表。計算式なし</t>
  </si>
  <si>
    <t xml:space="preserve">見せる</t>
  </si>
  <si>
    <r>
      <rPr>
        <b val="true"/>
        <sz val="10"/>
        <color rgb="FF111C29"/>
        <rFont val="Noto Sans CJK SC"/>
        <family val="2"/>
      </rPr>
      <t xml:space="preserve">配布用</t>
    </r>
    <r>
      <rPr>
        <b val="true"/>
        <sz val="10"/>
        <color rgb="FF111C29"/>
        <rFont val="游ゴシック"/>
        <family val="0"/>
        <charset val="1"/>
      </rPr>
      <t xml:space="preserve">_36</t>
    </r>
    <r>
      <rPr>
        <b val="true"/>
        <sz val="10"/>
        <color rgb="FF111C29"/>
        <rFont val="Noto Sans CJK SC"/>
        <family val="2"/>
      </rPr>
      <t xml:space="preserve">か月の総額</t>
    </r>
  </si>
  <si>
    <t xml:space="preserve">月額制との総額比較。お客様にそのまま見せられる</t>
  </si>
  <si>
    <t xml:space="preserve">凡例と、触るときの約束</t>
  </si>
  <si>
    <t xml:space="preserve">■</t>
  </si>
  <si>
    <t xml:space="preserve">青い数字＝直していい入力欄。『料金レバー』にしか置いていない</t>
  </si>
  <si>
    <t xml:space="preserve">黒い数字＝計算式。直接書き換えない（レバーを直せば動く）</t>
  </si>
  <si>
    <r>
      <rPr>
        <sz val="10"/>
        <color rgb="FF111C29"/>
        <rFont val="Noto Sans CJK SC"/>
        <family val="2"/>
      </rPr>
      <t xml:space="preserve">この本は写し。正本は </t>
    </r>
    <r>
      <rPr>
        <sz val="10"/>
        <color rgb="FF111C29"/>
        <rFont val="游ゴシック"/>
        <family val="0"/>
        <charset val="1"/>
      </rPr>
      <t xml:space="preserve">svc-astro/src/data/prices.ts</t>
    </r>
  </si>
  <si>
    <r>
      <rPr>
        <sz val="10"/>
        <color rgb="FF111C29"/>
        <rFont val="Noto Sans CJK SC"/>
        <family val="2"/>
      </rPr>
      <t xml:space="preserve">サイトに出る金額を変えるときは </t>
    </r>
    <r>
      <rPr>
        <sz val="10"/>
        <color rgb="FF111C29"/>
        <rFont val="游ゴシック"/>
        <family val="0"/>
        <charset val="1"/>
      </rPr>
      <t xml:space="preserve">prices.ts </t>
    </r>
    <r>
      <rPr>
        <sz val="10"/>
        <color rgb="FF111C29"/>
        <rFont val="Noto Sans CJK SC"/>
        <family val="2"/>
      </rPr>
      <t xml:space="preserve">を直す。この </t>
    </r>
    <r>
      <rPr>
        <sz val="10"/>
        <color rgb="FF111C29"/>
        <rFont val="游ゴシック"/>
        <family val="0"/>
        <charset val="1"/>
      </rPr>
      <t xml:space="preserve">Excel </t>
    </r>
    <r>
      <rPr>
        <sz val="10"/>
        <color rgb="FF111C29"/>
        <rFont val="Noto Sans CJK SC"/>
        <family val="2"/>
      </rPr>
      <t xml:space="preserve">を直してもサイトは変わらない</t>
    </r>
  </si>
  <si>
    <r>
      <rPr>
        <sz val="10"/>
        <color rgb="FF111C29"/>
        <rFont val="游ゴシック"/>
        <family val="0"/>
        <charset val="1"/>
      </rPr>
      <t xml:space="preserve">prices.ts </t>
    </r>
    <r>
      <rPr>
        <sz val="10"/>
        <color rgb="FF111C29"/>
        <rFont val="Noto Sans CJK SC"/>
        <family val="2"/>
      </rPr>
      <t xml:space="preserve">を直したら </t>
    </r>
    <r>
      <rPr>
        <sz val="10"/>
        <color rgb="FF111C29"/>
        <rFont val="游ゴシック"/>
        <family val="0"/>
        <charset val="1"/>
      </rPr>
      <t xml:space="preserve">npm run build → verify.py</t>
    </r>
    <r>
      <rPr>
        <sz val="10"/>
        <color rgb="FF111C29"/>
        <rFont val="Noto Sans CJK SC"/>
        <family val="2"/>
      </rPr>
      <t xml:space="preserve">。表示と正本の一致は機械が見ている</t>
    </r>
  </si>
  <si>
    <t xml:space="preserve">屋号・対応エリア・お約束・測った数字。</t>
  </si>
  <si>
    <t xml:space="preserve">項目</t>
  </si>
  <si>
    <t xml:space="preserve">内容</t>
  </si>
  <si>
    <t xml:space="preserve">備考</t>
  </si>
  <si>
    <t xml:space="preserve">屋号</t>
  </si>
  <si>
    <t xml:space="preserve">紬（つむぎ）</t>
  </si>
  <si>
    <t xml:space="preserve">一文字の漢字。読みを括弧で添える</t>
  </si>
  <si>
    <t xml:space="preserve">事業</t>
  </si>
  <si>
    <t xml:space="preserve">小規模事業者向けのホームページ制作と運用</t>
  </si>
  <si>
    <r>
      <rPr>
        <sz val="9"/>
        <color rgb="FF5A6B7B"/>
        <rFont val="游ゴシック"/>
        <family val="0"/>
        <charset val="1"/>
      </rPr>
      <t xml:space="preserve">2</t>
    </r>
    <r>
      <rPr>
        <sz val="9"/>
        <color rgb="FF5A6B7B"/>
        <rFont val="Noto Sans CJK SC"/>
        <family val="2"/>
      </rPr>
      <t xml:space="preserve">人体制</t>
    </r>
  </si>
  <si>
    <t xml:space="preserve">対応エリア</t>
  </si>
  <si>
    <t xml:space="preserve">全国</t>
  </si>
  <si>
    <t xml:space="preserve">打ち合わせはオンラインと電話。全国どこでもお受けします。</t>
  </si>
  <si>
    <t xml:space="preserve">対象業種</t>
  </si>
  <si>
    <t xml:space="preserve">飲食店／工務店・建設／美容室・サロン／士業・専門事務所</t>
  </si>
  <si>
    <t xml:space="preserve">値段は業種で変えない。変わるのは中身</t>
  </si>
  <si>
    <t xml:space="preserve">一番の主張</t>
  </si>
  <si>
    <t xml:space="preserve">借地権のホームページか、所有権のホームページか</t>
  </si>
  <si>
    <t xml:space="preserve">月額制は借地。やめた日に更地。当方は土地ごと渡す</t>
  </si>
  <si>
    <r>
      <rPr>
        <b val="true"/>
        <sz val="10"/>
        <color rgb="FF111C29"/>
        <rFont val="Noto Sans CJK SC"/>
        <family val="2"/>
      </rPr>
      <t xml:space="preserve">所有の</t>
    </r>
    <r>
      <rPr>
        <b val="true"/>
        <sz val="10"/>
        <color rgb="FF111C29"/>
        <rFont val="游ゴシック"/>
        <family val="0"/>
        <charset val="1"/>
      </rPr>
      <t xml:space="preserve">4</t>
    </r>
    <r>
      <rPr>
        <b val="true"/>
        <sz val="10"/>
        <color rgb="FF111C29"/>
        <rFont val="Noto Sans CJK SC"/>
        <family val="2"/>
      </rPr>
      <t xml:space="preserve">要素</t>
    </r>
  </si>
  <si>
    <t xml:space="preserve">① 住所＝ドメイン　② 建物＝ソースコード　③ 地盤＝置き場所　④ 家具＝写真と原稿</t>
  </si>
  <si>
    <t xml:space="preserve">どれも『その場で確かめられる形』にしてある</t>
  </si>
  <si>
    <t xml:space="preserve">返答のお約束</t>
  </si>
  <si>
    <r>
      <rPr>
        <sz val="10"/>
        <color rgb="FF111C29"/>
        <rFont val="游ゴシック"/>
        <family val="0"/>
        <charset val="1"/>
      </rPr>
      <t xml:space="preserve">1</t>
    </r>
    <r>
      <rPr>
        <sz val="10"/>
        <color rgb="FF111C29"/>
        <rFont val="Noto Sans CJK SC"/>
        <family val="2"/>
      </rPr>
      <t xml:space="preserve">営業日以内</t>
    </r>
  </si>
  <si>
    <t xml:space="preserve">実績値は計測を始めてから載せる</t>
  </si>
  <si>
    <t xml:space="preserve">表示速度（実測）</t>
  </si>
  <si>
    <r>
      <rPr>
        <sz val="10"/>
        <color rgb="FF111C29"/>
        <rFont val="游ゴシック"/>
        <family val="0"/>
        <charset val="1"/>
      </rPr>
      <t xml:space="preserve">0.18</t>
    </r>
    <r>
      <rPr>
        <sz val="10"/>
        <color rgb="FF111C29"/>
        <rFont val="Noto Sans CJK SC"/>
        <family val="2"/>
      </rPr>
      <t xml:space="preserve">秒（全</t>
    </r>
    <r>
      <rPr>
        <sz val="10"/>
        <color rgb="FF111C29"/>
        <rFont val="游ゴシック"/>
        <family val="0"/>
        <charset val="1"/>
      </rPr>
      <t xml:space="preserve">21</t>
    </r>
    <r>
      <rPr>
        <sz val="10"/>
        <color rgb="FF111C29"/>
        <rFont val="Noto Sans CJK SC"/>
        <family val="2"/>
      </rPr>
      <t xml:space="preserve">ページの最大値・実測）</t>
    </r>
  </si>
  <si>
    <t xml:space="preserve">毎回のビルドで測り直す。手で書かない</t>
  </si>
  <si>
    <r>
      <rPr>
        <b val="true"/>
        <sz val="10"/>
        <color rgb="FF111C29"/>
        <rFont val="Noto Sans CJK SC"/>
        <family val="2"/>
      </rPr>
      <t xml:space="preserve">実行時</t>
    </r>
    <r>
      <rPr>
        <b val="true"/>
        <sz val="10"/>
        <color rgb="FF111C29"/>
        <rFont val="游ゴシック"/>
        <family val="0"/>
        <charset val="1"/>
      </rPr>
      <t xml:space="preserve">JavaScript</t>
    </r>
  </si>
  <si>
    <r>
      <rPr>
        <sz val="10"/>
        <color rgb="FF111C29"/>
        <rFont val="游ゴシック"/>
        <family val="0"/>
        <charset val="1"/>
      </rPr>
      <t xml:space="preserve">0</t>
    </r>
    <r>
      <rPr>
        <sz val="10"/>
        <color rgb="FF111C29"/>
        <rFont val="Noto Sans CJK SC"/>
        <family val="2"/>
      </rPr>
      <t xml:space="preserve">バイト（全</t>
    </r>
    <r>
      <rPr>
        <sz val="10"/>
        <color rgb="FF111C29"/>
        <rFont val="游ゴシック"/>
        <family val="0"/>
        <charset val="1"/>
      </rPr>
      <t xml:space="preserve">21</t>
    </r>
    <r>
      <rPr>
        <sz val="10"/>
        <color rgb="FF111C29"/>
        <rFont val="Noto Sans CJK SC"/>
        <family val="2"/>
      </rPr>
      <t xml:space="preserve">ページ）</t>
    </r>
  </si>
  <si>
    <t xml:space="preserve">③地盤の根拠。アイランドを足すと崩れる</t>
  </si>
  <si>
    <t xml:space="preserve">自動検査</t>
  </si>
  <si>
    <r>
      <rPr>
        <sz val="10"/>
        <color rgb="FF111C29"/>
        <rFont val="游ゴシック"/>
        <family val="0"/>
        <charset val="1"/>
      </rPr>
      <t xml:space="preserve">581</t>
    </r>
    <r>
      <rPr>
        <sz val="10"/>
        <color rgb="FF111C29"/>
        <rFont val="Noto Sans CJK SC"/>
        <family val="2"/>
      </rPr>
      <t xml:space="preserve">項目 </t>
    </r>
    <r>
      <rPr>
        <sz val="10"/>
        <color rgb="FF111C29"/>
        <rFont val="游ゴシック"/>
        <family val="0"/>
        <charset val="1"/>
      </rPr>
      <t xml:space="preserve">PASS / 0 FAIL</t>
    </r>
  </si>
  <si>
    <r>
      <rPr>
        <sz val="9"/>
        <color rgb="FF5A6B7B"/>
        <rFont val="游ゴシック"/>
        <family val="0"/>
        <charset val="1"/>
      </rPr>
      <t xml:space="preserve">1</t>
    </r>
    <r>
      <rPr>
        <sz val="9"/>
        <color rgb="FF5A6B7B"/>
        <rFont val="Noto Sans CJK SC"/>
        <family val="2"/>
      </rPr>
      <t xml:space="preserve">つでも落ちたら納品しない</t>
    </r>
  </si>
  <si>
    <t xml:space="preserve">運用の契約単位</t>
  </si>
  <si>
    <r>
      <rPr>
        <sz val="10"/>
        <color rgb="FF111C29"/>
        <rFont val="游ゴシック"/>
        <family val="0"/>
        <charset val="1"/>
      </rPr>
      <t xml:space="preserve">3</t>
    </r>
    <r>
      <rPr>
        <sz val="10"/>
        <color rgb="FF111C29"/>
        <rFont val="Noto Sans CJK SC"/>
        <family val="2"/>
      </rPr>
      <t xml:space="preserve">か月単位</t>
    </r>
  </si>
  <si>
    <t xml:space="preserve">違約金なし</t>
  </si>
  <si>
    <t xml:space="preserve">分割の回数</t>
  </si>
  <si>
    <r>
      <rPr>
        <sz val="10"/>
        <color rgb="FF111C29"/>
        <rFont val="游ゴシック"/>
        <family val="0"/>
        <charset val="1"/>
      </rPr>
      <t xml:space="preserve">24</t>
    </r>
    <r>
      <rPr>
        <sz val="10"/>
        <color rgb="FF111C29"/>
        <rFont val="Noto Sans CJK SC"/>
        <family val="2"/>
      </rPr>
      <t xml:space="preserve">回</t>
    </r>
  </si>
  <si>
    <r>
      <rPr>
        <sz val="9"/>
        <color rgb="FF5A6B7B"/>
        <rFont val="Noto Sans CJK SC"/>
        <family val="2"/>
      </rPr>
      <t xml:space="preserve">手数料</t>
    </r>
    <r>
      <rPr>
        <sz val="9"/>
        <color rgb="FF5A6B7B"/>
        <rFont val="游ゴシック"/>
        <family val="0"/>
        <charset val="1"/>
      </rPr>
      <t xml:space="preserve">0</t>
    </r>
    <r>
      <rPr>
        <sz val="9"/>
        <color rgb="FF5A6B7B"/>
        <rFont val="Noto Sans CJK SC"/>
        <family val="2"/>
      </rPr>
      <t xml:space="preserve">円。総額は買い切りと同じ</t>
    </r>
  </si>
  <si>
    <t xml:space="preserve">公開前の状態</t>
  </si>
  <si>
    <r>
      <rPr>
        <sz val="10"/>
        <color rgb="FF111C29"/>
        <rFont val="游ゴシック"/>
        <family val="0"/>
        <charset val="1"/>
      </rPr>
      <t xml:space="preserve">PLACEHOLDER=True</t>
    </r>
    <r>
      <rPr>
        <sz val="10"/>
        <color rgb="FF111C29"/>
        <rFont val="Noto Sans CJK SC"/>
        <family val="2"/>
      </rPr>
      <t xml:space="preserve">（電話番号・住所が仮）</t>
    </r>
  </si>
  <si>
    <r>
      <rPr>
        <sz val="9"/>
        <color rgb="FF5A6B7B"/>
        <rFont val="Noto Sans CJK SC"/>
        <family val="2"/>
      </rPr>
      <t xml:space="preserve">公開前に </t>
    </r>
    <r>
      <rPr>
        <sz val="9"/>
        <color rgb="FF5A6B7B"/>
        <rFont val="游ゴシック"/>
        <family val="0"/>
        <charset val="1"/>
      </rPr>
      <t xml:space="preserve">False </t>
    </r>
    <r>
      <rPr>
        <sz val="9"/>
        <color rgb="FF5A6B7B"/>
        <rFont val="Noto Sans CJK SC"/>
        <family val="2"/>
      </rPr>
      <t xml:space="preserve">にする。検査が </t>
    </r>
    <r>
      <rPr>
        <sz val="9"/>
        <color rgb="FF5A6B7B"/>
        <rFont val="游ゴシック"/>
        <family val="0"/>
        <charset val="1"/>
      </rPr>
      <t xml:space="preserve">WARN </t>
    </r>
    <r>
      <rPr>
        <sz val="9"/>
        <color rgb="FF5A6B7B"/>
        <rFont val="Noto Sans CJK SC"/>
        <family val="2"/>
      </rPr>
      <t xml:space="preserve">で見張っている</t>
    </r>
  </si>
  <si>
    <r>
      <rPr>
        <sz val="9"/>
        <color rgb="FF5A6B7B"/>
        <rFont val="Noto Sans CJK SC"/>
        <family val="2"/>
      </rPr>
      <t xml:space="preserve">※ この事業の宿題（未決）：</t>
    </r>
    <r>
      <rPr>
        <sz val="9"/>
        <color rgb="FF5A6B7B"/>
        <rFont val="游ゴシック"/>
        <family val="0"/>
        <charset val="1"/>
      </rPr>
      <t xml:space="preserve">terms.html </t>
    </r>
    <r>
      <rPr>
        <sz val="9"/>
        <color rgb="FF5A6B7B"/>
        <rFont val="Noto Sans CJK SC"/>
        <family val="2"/>
      </rPr>
      <t xml:space="preserve">の弁護士確認（フリーランス法</t>
    </r>
    <r>
      <rPr>
        <sz val="9"/>
        <color rgb="FF5A6B7B"/>
        <rFont val="游ゴシック"/>
        <family val="0"/>
        <charset val="1"/>
      </rPr>
      <t xml:space="preserve">4</t>
    </r>
    <r>
      <rPr>
        <sz val="9"/>
        <color rgb="FF5A6B7B"/>
        <rFont val="Noto Sans CJK SC"/>
        <family val="2"/>
      </rPr>
      <t xml:space="preserve">条）／問い合わせフォームの送信先が未設定／商標（</t>
    </r>
    <r>
      <rPr>
        <sz val="9"/>
        <color rgb="FF5A6B7B"/>
        <rFont val="游ゴシック"/>
        <family val="0"/>
        <charset val="1"/>
      </rPr>
      <t xml:space="preserve">J-PlatPat </t>
    </r>
    <r>
      <rPr>
        <sz val="9"/>
        <color rgb="FF5A6B7B"/>
        <rFont val="Noto Sans CJK SC"/>
        <family val="2"/>
      </rPr>
      <t xml:space="preserve">第</t>
    </r>
    <r>
      <rPr>
        <sz val="9"/>
        <color rgb="FF5A6B7B"/>
        <rFont val="游ゴシック"/>
        <family val="0"/>
        <charset val="1"/>
      </rPr>
      <t xml:space="preserve">42</t>
    </r>
    <r>
      <rPr>
        <sz val="9"/>
        <color rgb="FF5A6B7B"/>
        <rFont val="Noto Sans CJK SC"/>
        <family val="2"/>
      </rPr>
      <t xml:space="preserve">類・第</t>
    </r>
    <r>
      <rPr>
        <sz val="9"/>
        <color rgb="FF5A6B7B"/>
        <rFont val="游ゴシック"/>
        <family val="0"/>
        <charset val="1"/>
      </rPr>
      <t xml:space="preserve">35</t>
    </r>
    <r>
      <rPr>
        <sz val="9"/>
        <color rgb="FF5A6B7B"/>
        <rFont val="Noto Sans CJK SC"/>
        <family val="2"/>
      </rPr>
      <t xml:space="preserve">類）と同名法人の確認／出張撮影を全国対応でどう扱うか／集客経路の設計。</t>
    </r>
  </si>
  <si>
    <t xml:space="preserve">料金レバー（ここだけ直す）</t>
  </si>
  <si>
    <r>
      <rPr>
        <sz val="9.5"/>
        <color rgb="FF5A6B7B"/>
        <rFont val="Noto Sans CJK SC"/>
        <family val="2"/>
      </rPr>
      <t xml:space="preserve">青い数字が入力欄。ほかのシートはすべてこの値を参照している。</t>
    </r>
    <r>
      <rPr>
        <sz val="9.5"/>
        <color rgb="FF5A6B7B"/>
        <rFont val="游ゴシック"/>
        <family val="0"/>
        <charset val="1"/>
      </rPr>
      <t xml:space="preserve">1</t>
    </r>
    <r>
      <rPr>
        <sz val="9.5"/>
        <color rgb="FF5A6B7B"/>
        <rFont val="Noto Sans CJK SC"/>
        <family val="2"/>
      </rPr>
      <t xml:space="preserve">つ動かすと、分割・総額・比較・補助金がまとめて動く。</t>
    </r>
  </si>
  <si>
    <t xml:space="preserve">値</t>
  </si>
  <si>
    <t xml:space="preserve">単位</t>
  </si>
  <si>
    <t xml:space="preserve">意味・根拠</t>
  </si>
  <si>
    <t xml:space="preserve">制作（買い切り・税別）</t>
  </si>
  <si>
    <t xml:space="preserve">シングル</t>
  </si>
  <si>
    <t xml:space="preserve">円</t>
  </si>
  <si>
    <r>
      <rPr>
        <sz val="9"/>
        <color rgb="FF5A6B7B"/>
        <rFont val="游ゴシック"/>
        <family val="0"/>
        <charset val="1"/>
      </rPr>
      <t xml:space="preserve">1</t>
    </r>
    <r>
      <rPr>
        <sz val="9"/>
        <color rgb="FF5A6B7B"/>
        <rFont val="Noto Sans CJK SC"/>
        <family val="2"/>
      </rPr>
      <t xml:space="preserve">ページ。入口の買い切り商品</t>
    </r>
  </si>
  <si>
    <r>
      <rPr>
        <b val="true"/>
        <sz val="10"/>
        <color rgb="FF111C29"/>
        <rFont val="Noto Sans CJK SC"/>
        <family val="2"/>
      </rPr>
      <t xml:space="preserve">ベーシック（</t>
    </r>
    <r>
      <rPr>
        <b val="true"/>
        <sz val="10"/>
        <color rgb="FF111C29"/>
        <rFont val="游ゴシック"/>
        <family val="0"/>
        <charset val="1"/>
      </rPr>
      <t xml:space="preserve">6</t>
    </r>
    <r>
      <rPr>
        <b val="true"/>
        <sz val="10"/>
        <color rgb="FF111C29"/>
        <rFont val="Noto Sans CJK SC"/>
        <family val="2"/>
      </rPr>
      <t xml:space="preserve">ページ）</t>
    </r>
  </si>
  <si>
    <t xml:space="preserve">業種ごとに必要なページを最初から全部入れた最小構成。</t>
  </si>
  <si>
    <r>
      <rPr>
        <b val="true"/>
        <sz val="10"/>
        <color rgb="FF111C29"/>
        <rFont val="Noto Sans CJK SC"/>
        <family val="2"/>
      </rPr>
      <t xml:space="preserve">スタンダード（</t>
    </r>
    <r>
      <rPr>
        <b val="true"/>
        <sz val="10"/>
        <color rgb="FF111C29"/>
        <rFont val="游ゴシック"/>
        <family val="0"/>
        <charset val="1"/>
      </rPr>
      <t xml:space="preserve">9</t>
    </r>
    <r>
      <rPr>
        <b val="true"/>
        <sz val="10"/>
        <color rgb="FF111C29"/>
        <rFont val="Noto Sans CJK SC"/>
        <family val="2"/>
      </rPr>
      <t xml:space="preserve">ページ）</t>
    </r>
  </si>
  <si>
    <t xml:space="preserve">いちばん多く選ばれる構成。補助金を使う場合もこれを基準にします。</t>
  </si>
  <si>
    <r>
      <rPr>
        <b val="true"/>
        <sz val="10"/>
        <color rgb="FF111C29"/>
        <rFont val="Noto Sans CJK SC"/>
        <family val="2"/>
      </rPr>
      <t xml:space="preserve">プロ（</t>
    </r>
    <r>
      <rPr>
        <b val="true"/>
        <sz val="10"/>
        <color rgb="FF111C29"/>
        <rFont val="游ゴシック"/>
        <family val="0"/>
        <charset val="1"/>
      </rPr>
      <t xml:space="preserve">14</t>
    </r>
    <r>
      <rPr>
        <b val="true"/>
        <sz val="10"/>
        <color rgb="FF111C29"/>
        <rFont val="Noto Sans CJK SC"/>
        <family val="2"/>
      </rPr>
      <t xml:space="preserve">ページ）</t>
    </r>
  </si>
  <si>
    <t xml:space="preserve">施工事例や取扱分野が増えていく事業に。データベースとして設計します。</t>
  </si>
  <si>
    <r>
      <rPr>
        <b val="true"/>
        <sz val="10"/>
        <color rgb="FF1F3049"/>
        <rFont val="Noto Sans CJK SC"/>
        <family val="2"/>
      </rPr>
      <t xml:space="preserve">分割（手数料</t>
    </r>
    <r>
      <rPr>
        <b val="true"/>
        <sz val="10"/>
        <color rgb="FF1F3049"/>
        <rFont val="游ゴシック"/>
        <family val="0"/>
        <charset val="1"/>
      </rPr>
      <t xml:space="preserve">0</t>
    </r>
    <r>
      <rPr>
        <b val="true"/>
        <sz val="10"/>
        <color rgb="FF1F3049"/>
        <rFont val="Noto Sans CJK SC"/>
        <family val="2"/>
      </rPr>
      <t xml:space="preserve">円・総額は買い切りと同じ）</t>
    </r>
  </si>
  <si>
    <t xml:space="preserve">回</t>
  </si>
  <si>
    <t xml:space="preserve">初回のあと毎月。運用プランとの同時契約が条件</t>
  </si>
  <si>
    <t xml:space="preserve">ベーシック 分割の初回</t>
  </si>
  <si>
    <t xml:space="preserve">着手時にいただく分</t>
  </si>
  <si>
    <t xml:space="preserve">ベーシック 分割の月額</t>
  </si>
  <si>
    <r>
      <rPr>
        <sz val="9"/>
        <color rgb="FF5A6B7B"/>
        <rFont val="Noto Sans CJK SC"/>
        <family val="2"/>
      </rPr>
      <t xml:space="preserve">初回＋月額</t>
    </r>
    <r>
      <rPr>
        <sz val="9"/>
        <color rgb="FF5A6B7B"/>
        <rFont val="游ゴシック"/>
        <family val="0"/>
        <charset val="1"/>
      </rPr>
      <t xml:space="preserve">×24</t>
    </r>
    <r>
      <rPr>
        <sz val="9"/>
        <color rgb="FF5A6B7B"/>
        <rFont val="Noto Sans CJK SC"/>
        <family val="2"/>
      </rPr>
      <t xml:space="preserve">＝買い切りと同額になるよう置いている</t>
    </r>
  </si>
  <si>
    <t xml:space="preserve">スタンダード 分割の初回</t>
  </si>
  <si>
    <t xml:space="preserve">スタンダード 分割の月額</t>
  </si>
  <si>
    <t xml:space="preserve">プロ 分割の初回</t>
  </si>
  <si>
    <t xml:space="preserve">プロ 分割の月額</t>
  </si>
  <si>
    <t xml:space="preserve">運用（月額・税別）</t>
  </si>
  <si>
    <t xml:space="preserve">ライト</t>
  </si>
  <si>
    <r>
      <rPr>
        <sz val="9"/>
        <color rgb="FF5A6B7B"/>
        <rFont val="游ゴシック"/>
        <family val="0"/>
        <charset val="1"/>
      </rPr>
      <t xml:space="preserve">1</t>
    </r>
    <r>
      <rPr>
        <sz val="9"/>
        <color rgb="FF5A6B7B"/>
        <rFont val="Noto Sans CJK SC"/>
        <family val="2"/>
      </rPr>
      <t xml:space="preserve">ページのサイトを、動く状態で保つだけの最小構成。</t>
    </r>
  </si>
  <si>
    <t xml:space="preserve">ベーシック</t>
  </si>
  <si>
    <t xml:space="preserve">作ったあとを維持する最小構成。</t>
  </si>
  <si>
    <t xml:space="preserve">スタンダード</t>
  </si>
  <si>
    <r>
      <rPr>
        <sz val="9"/>
        <color rgb="FF5A6B7B"/>
        <rFont val="游ゴシック"/>
        <family val="0"/>
        <charset val="1"/>
      </rPr>
      <t xml:space="preserve">Google</t>
    </r>
    <r>
      <rPr>
        <sz val="9"/>
        <color rgb="FF5A6B7B"/>
        <rFont val="Noto Sans CJK SC"/>
        <family val="2"/>
      </rPr>
      <t xml:space="preserve">マップからの来店を増やす運用まで。</t>
    </r>
  </si>
  <si>
    <t xml:space="preserve">グロース</t>
  </si>
  <si>
    <t xml:space="preserve">広告と掲載費の全体を見直すところまで。</t>
  </si>
  <si>
    <t xml:space="preserve">月額制（他社の公開料金・比較の相手）</t>
  </si>
  <si>
    <t xml:space="preserve">比較する月数</t>
  </si>
  <si>
    <t xml:space="preserve">か月</t>
  </si>
  <si>
    <t xml:space="preserve">月額制各社が『譲渡』『契約満了』の区切りに使う月数に合わせた</t>
  </si>
  <si>
    <r>
      <rPr>
        <b val="true"/>
        <sz val="10"/>
        <color rgb="FF111C29"/>
        <rFont val="Noto Sans CJK SC"/>
        <family val="2"/>
      </rPr>
      <t xml:space="preserve">月額制</t>
    </r>
    <r>
      <rPr>
        <b val="true"/>
        <sz val="10"/>
        <color rgb="FF111C29"/>
        <rFont val="游ゴシック"/>
        <family val="0"/>
        <charset val="1"/>
      </rPr>
      <t xml:space="preserve">A</t>
    </r>
    <r>
      <rPr>
        <b val="true"/>
        <sz val="10"/>
        <color rgb="FF111C29"/>
        <rFont val="Noto Sans CJK SC"/>
        <family val="2"/>
      </rPr>
      <t xml:space="preserve">社 </t>
    </r>
    <r>
      <rPr>
        <b val="true"/>
        <sz val="10"/>
        <color rgb="FF111C29"/>
        <rFont val="游ゴシック"/>
        <family val="0"/>
        <charset val="1"/>
      </rPr>
      <t xml:space="preserve">1</t>
    </r>
    <r>
      <rPr>
        <b val="true"/>
        <sz val="10"/>
        <color rgb="FF111C29"/>
        <rFont val="Noto Sans CJK SC"/>
        <family val="2"/>
      </rPr>
      <t xml:space="preserve">ページ 月額</t>
    </r>
  </si>
  <si>
    <r>
      <rPr>
        <sz val="9"/>
        <color rgb="FF5A6B7B"/>
        <rFont val="游ゴシック"/>
        <family val="0"/>
        <charset val="1"/>
      </rPr>
      <t xml:space="preserve">1</t>
    </r>
    <r>
      <rPr>
        <sz val="9"/>
        <color rgb="FF5A6B7B"/>
        <rFont val="Noto Sans CJK SC"/>
        <family val="2"/>
      </rPr>
      <t xml:space="preserve">ページ相当</t>
    </r>
  </si>
  <si>
    <r>
      <rPr>
        <b val="true"/>
        <sz val="10"/>
        <color rgb="FF111C29"/>
        <rFont val="Noto Sans CJK SC"/>
        <family val="2"/>
      </rPr>
      <t xml:space="preserve">月額制</t>
    </r>
    <r>
      <rPr>
        <b val="true"/>
        <sz val="10"/>
        <color rgb="FF111C29"/>
        <rFont val="游ゴシック"/>
        <family val="0"/>
        <charset val="1"/>
      </rPr>
      <t xml:space="preserve">A</t>
    </r>
    <r>
      <rPr>
        <b val="true"/>
        <sz val="10"/>
        <color rgb="FF111C29"/>
        <rFont val="Noto Sans CJK SC"/>
        <family val="2"/>
      </rPr>
      <t xml:space="preserve">社 </t>
    </r>
    <r>
      <rPr>
        <b val="true"/>
        <sz val="10"/>
        <color rgb="FF111C29"/>
        <rFont val="游ゴシック"/>
        <family val="0"/>
        <charset val="1"/>
      </rPr>
      <t xml:space="preserve">2</t>
    </r>
    <r>
      <rPr>
        <b val="true"/>
        <sz val="10"/>
        <color rgb="FF111C29"/>
        <rFont val="Noto Sans CJK SC"/>
        <family val="2"/>
      </rPr>
      <t xml:space="preserve">〜</t>
    </r>
    <r>
      <rPr>
        <b val="true"/>
        <sz val="10"/>
        <color rgb="FF111C29"/>
        <rFont val="游ゴシック"/>
        <family val="0"/>
        <charset val="1"/>
      </rPr>
      <t xml:space="preserve">6</t>
    </r>
    <r>
      <rPr>
        <b val="true"/>
        <sz val="10"/>
        <color rgb="FF111C29"/>
        <rFont val="Noto Sans CJK SC"/>
        <family val="2"/>
      </rPr>
      <t xml:space="preserve">ページ 月額</t>
    </r>
  </si>
  <si>
    <r>
      <rPr>
        <sz val="9"/>
        <color rgb="FF5A6B7B"/>
        <rFont val="游ゴシック"/>
        <family val="0"/>
        <charset val="1"/>
      </rPr>
      <t xml:space="preserve">6</t>
    </r>
    <r>
      <rPr>
        <sz val="9"/>
        <color rgb="FF5A6B7B"/>
        <rFont val="Noto Sans CJK SC"/>
        <family val="2"/>
      </rPr>
      <t xml:space="preserve">ページ相当</t>
    </r>
  </si>
  <si>
    <r>
      <rPr>
        <b val="true"/>
        <sz val="10"/>
        <color rgb="FF111C29"/>
        <rFont val="Noto Sans CJK SC"/>
        <family val="2"/>
      </rPr>
      <t xml:space="preserve">月額制</t>
    </r>
    <r>
      <rPr>
        <b val="true"/>
        <sz val="10"/>
        <color rgb="FF111C29"/>
        <rFont val="游ゴシック"/>
        <family val="0"/>
        <charset val="1"/>
      </rPr>
      <t xml:space="preserve">A</t>
    </r>
    <r>
      <rPr>
        <b val="true"/>
        <sz val="10"/>
        <color rgb="FF111C29"/>
        <rFont val="Noto Sans CJK SC"/>
        <family val="2"/>
      </rPr>
      <t xml:space="preserve">社 </t>
    </r>
    <r>
      <rPr>
        <b val="true"/>
        <sz val="10"/>
        <color rgb="FF111C29"/>
        <rFont val="游ゴシック"/>
        <family val="0"/>
        <charset val="1"/>
      </rPr>
      <t xml:space="preserve">7</t>
    </r>
    <r>
      <rPr>
        <b val="true"/>
        <sz val="10"/>
        <color rgb="FF111C29"/>
        <rFont val="Noto Sans CJK SC"/>
        <family val="2"/>
      </rPr>
      <t xml:space="preserve">〜</t>
    </r>
    <r>
      <rPr>
        <b val="true"/>
        <sz val="10"/>
        <color rgb="FF111C29"/>
        <rFont val="游ゴシック"/>
        <family val="0"/>
        <charset val="1"/>
      </rPr>
      <t xml:space="preserve">12</t>
    </r>
    <r>
      <rPr>
        <b val="true"/>
        <sz val="10"/>
        <color rgb="FF111C29"/>
        <rFont val="Noto Sans CJK SC"/>
        <family val="2"/>
      </rPr>
      <t xml:space="preserve">ページ 月額</t>
    </r>
  </si>
  <si>
    <r>
      <rPr>
        <sz val="9"/>
        <color rgb="FF5A6B7B"/>
        <rFont val="游ゴシック"/>
        <family val="0"/>
        <charset val="1"/>
      </rPr>
      <t xml:space="preserve">12</t>
    </r>
    <r>
      <rPr>
        <sz val="9"/>
        <color rgb="FF5A6B7B"/>
        <rFont val="Noto Sans CJK SC"/>
        <family val="2"/>
      </rPr>
      <t xml:space="preserve">ページ相当</t>
    </r>
  </si>
  <si>
    <t xml:space="preserve">月額制の初期費用</t>
  </si>
  <si>
    <r>
      <rPr>
        <sz val="9"/>
        <color rgb="FF5A6B7B"/>
        <rFont val="游ゴシック"/>
        <family val="0"/>
        <charset val="1"/>
      </rPr>
      <t xml:space="preserve">3</t>
    </r>
    <r>
      <rPr>
        <sz val="9"/>
        <color rgb="FF5A6B7B"/>
        <rFont val="Noto Sans CJK SC"/>
        <family val="2"/>
      </rPr>
      <t xml:space="preserve">プラン共通</t>
    </r>
  </si>
  <si>
    <t xml:space="preserve">補助金（小規模事業者持続化補助金）</t>
  </si>
  <si>
    <t xml:space="preserve">補助率</t>
  </si>
  <si>
    <t xml:space="preserve">—</t>
  </si>
  <si>
    <r>
      <rPr>
        <sz val="9"/>
        <color rgb="FF5A6B7B"/>
        <rFont val="游ゴシック"/>
        <family val="0"/>
        <charset val="1"/>
      </rPr>
      <t xml:space="preserve">3</t>
    </r>
    <r>
      <rPr>
        <sz val="9"/>
        <color rgb="FF5A6B7B"/>
        <rFont val="Noto Sans CJK SC"/>
        <family val="2"/>
      </rPr>
      <t xml:space="preserve">分の</t>
    </r>
    <r>
      <rPr>
        <sz val="9"/>
        <color rgb="FF5A6B7B"/>
        <rFont val="游ゴシック"/>
        <family val="0"/>
        <charset val="1"/>
      </rPr>
      <t xml:space="preserve">2</t>
    </r>
  </si>
  <si>
    <t xml:space="preserve">補助上限</t>
  </si>
  <si>
    <t xml:space="preserve">全体の上限</t>
  </si>
  <si>
    <t xml:space="preserve">ウェブ関連費の上限</t>
  </si>
  <si>
    <t xml:space="preserve">補助金額としての上限。経費額ではない</t>
  </si>
  <si>
    <t xml:space="preserve">ポータル掲載費（食べログ・公開料金／税込）</t>
  </si>
  <si>
    <r>
      <rPr>
        <b val="true"/>
        <sz val="10"/>
        <color rgb="FF111C29"/>
        <rFont val="Noto Sans CJK SC"/>
        <family val="2"/>
      </rPr>
      <t xml:space="preserve">プレミアム</t>
    </r>
    <r>
      <rPr>
        <b val="true"/>
        <sz val="10"/>
        <color rgb="FF111C29"/>
        <rFont val="游ゴシック"/>
        <family val="0"/>
        <charset val="1"/>
      </rPr>
      <t xml:space="preserve">10</t>
    </r>
  </si>
  <si>
    <r>
      <rPr>
        <sz val="9"/>
        <color rgb="FF5A6B7B"/>
        <rFont val="Noto Sans CJK SC"/>
        <family val="2"/>
      </rPr>
      <t xml:space="preserve">月額。税抜表記を</t>
    </r>
    <r>
      <rPr>
        <sz val="9"/>
        <color rgb="FF5A6B7B"/>
        <rFont val="游ゴシック"/>
        <family val="0"/>
        <charset val="1"/>
      </rPr>
      <t xml:space="preserve">1.1</t>
    </r>
    <r>
      <rPr>
        <sz val="9"/>
        <color rgb="FF5A6B7B"/>
        <rFont val="Noto Sans CJK SC"/>
        <family val="2"/>
      </rPr>
      <t xml:space="preserve">倍して税込に換算</t>
    </r>
  </si>
  <si>
    <r>
      <rPr>
        <b val="true"/>
        <sz val="10"/>
        <color rgb="FF111C29"/>
        <rFont val="Noto Sans CJK SC"/>
        <family val="2"/>
      </rPr>
      <t xml:space="preserve">プレミアム</t>
    </r>
    <r>
      <rPr>
        <b val="true"/>
        <sz val="10"/>
        <color rgb="FF111C29"/>
        <rFont val="游ゴシック"/>
        <family val="0"/>
        <charset val="1"/>
      </rPr>
      <t xml:space="preserve">5</t>
    </r>
  </si>
  <si>
    <t xml:space="preserve">無料掲載</t>
  </si>
  <si>
    <t xml:space="preserve">送客手数料（ディナー）</t>
  </si>
  <si>
    <r>
      <rPr>
        <sz val="9"/>
        <color rgb="FF5A6B7B"/>
        <rFont val="游ゴシック"/>
        <family val="0"/>
        <charset val="1"/>
      </rPr>
      <t xml:space="preserve">1</t>
    </r>
    <r>
      <rPr>
        <sz val="9"/>
        <color rgb="FF5A6B7B"/>
        <rFont val="Noto Sans CJK SC"/>
        <family val="2"/>
      </rPr>
      <t xml:space="preserve">人あたり・税込。新規と常連を区別しない</t>
    </r>
  </si>
  <si>
    <t xml:space="preserve">送客手数料（ランチ）</t>
  </si>
  <si>
    <r>
      <rPr>
        <sz val="9"/>
        <color rgb="FF5A6B7B"/>
        <rFont val="游ゴシック"/>
        <family val="0"/>
        <charset val="1"/>
      </rPr>
      <t xml:space="preserve">1</t>
    </r>
    <r>
      <rPr>
        <sz val="9"/>
        <color rgb="FF5A6B7B"/>
        <rFont val="Noto Sans CJK SC"/>
        <family val="2"/>
      </rPr>
      <t xml:space="preserve">人あたり・税込</t>
    </r>
  </si>
  <si>
    <r>
      <rPr>
        <sz val="9"/>
        <color rgb="FF5A6B7B"/>
        <rFont val="Noto Sans CJK SC"/>
        <family val="2"/>
      </rPr>
      <t xml:space="preserve">出所：金額の正本は </t>
    </r>
    <r>
      <rPr>
        <sz val="9"/>
        <color rgb="FF5A6B7B"/>
        <rFont val="游ゴシック"/>
        <family val="0"/>
        <charset val="1"/>
      </rPr>
      <t xml:space="preserve">svc-astro/src/data/prices.ts</t>
    </r>
    <r>
      <rPr>
        <sz val="9"/>
        <color rgb="FF5A6B7B"/>
        <rFont val="Noto Sans CJK SC"/>
        <family val="2"/>
      </rPr>
      <t xml:space="preserve">。他社の月額制は各社が公開している料金ページ（</t>
    </r>
    <r>
      <rPr>
        <sz val="9"/>
        <color rgb="FF5A6B7B"/>
        <rFont val="游ゴシック"/>
        <family val="0"/>
        <charset val="1"/>
      </rPr>
      <t xml:space="preserve">2026</t>
    </r>
    <r>
      <rPr>
        <sz val="9"/>
        <color rgb="FF5A6B7B"/>
        <rFont val="Noto Sans CJK SC"/>
        <family val="2"/>
      </rPr>
      <t xml:space="preserve">年</t>
    </r>
    <r>
      <rPr>
        <sz val="9"/>
        <color rgb="FF5A6B7B"/>
        <rFont val="游ゴシック"/>
        <family val="0"/>
        <charset val="1"/>
      </rPr>
      <t xml:space="preserve">9</t>
    </r>
    <r>
      <rPr>
        <sz val="9"/>
        <color rgb="FF5A6B7B"/>
        <rFont val="Noto Sans CJK SC"/>
        <family val="2"/>
      </rPr>
      <t xml:space="preserve">月時点）。食べログは同社の公開料金。補助金は小規模事業者持続化補助金（一般型・通常枠）（第</t>
    </r>
    <r>
      <rPr>
        <sz val="9"/>
        <color rgb="FF5A6B7B"/>
        <rFont val="游ゴシック"/>
        <family val="0"/>
        <charset val="1"/>
      </rPr>
      <t xml:space="preserve">20</t>
    </r>
    <r>
      <rPr>
        <sz val="9"/>
        <color rgb="FF5A6B7B"/>
        <rFont val="Noto Sans CJK SC"/>
        <family val="2"/>
      </rPr>
      <t xml:space="preserve">回）の公募要領。</t>
    </r>
  </si>
  <si>
    <r>
      <rPr>
        <sz val="9.5"/>
        <color rgb="FF5A6B7B"/>
        <rFont val="Noto Sans CJK SC"/>
        <family val="2"/>
      </rPr>
      <t xml:space="preserve">分割にしても総額は買い切りと同じ（手数料</t>
    </r>
    <r>
      <rPr>
        <sz val="9.5"/>
        <color rgb="FF5A6B7B"/>
        <rFont val="游ゴシック"/>
        <family val="0"/>
        <charset val="1"/>
      </rPr>
      <t xml:space="preserve">0</t>
    </r>
    <r>
      <rPr>
        <sz val="9.5"/>
        <color rgb="FF5A6B7B"/>
        <rFont val="Noto Sans CJK SC"/>
        <family val="2"/>
      </rPr>
      <t xml:space="preserve">円）。差の列が</t>
    </r>
    <r>
      <rPr>
        <sz val="9.5"/>
        <color rgb="FF5A6B7B"/>
        <rFont val="游ゴシック"/>
        <family val="0"/>
        <charset val="1"/>
      </rPr>
      <t xml:space="preserve">0</t>
    </r>
    <r>
      <rPr>
        <sz val="9.5"/>
        <color rgb="FF5A6B7B"/>
        <rFont val="Noto Sans CJK SC"/>
        <family val="2"/>
      </rPr>
      <t xml:space="preserve">でなければどこかが狂っている。</t>
    </r>
  </si>
  <si>
    <t xml:space="preserve">プラン</t>
  </si>
  <si>
    <t xml:space="preserve">ページ</t>
  </si>
  <si>
    <t xml:space="preserve">週</t>
  </si>
  <si>
    <t xml:space="preserve">買い切り</t>
  </si>
  <si>
    <t xml:space="preserve">分割 初回</t>
  </si>
  <si>
    <r>
      <rPr>
        <b val="true"/>
        <sz val="10"/>
        <color rgb="FFFFFFFF"/>
        <rFont val="Noto Sans CJK SC"/>
        <family val="2"/>
      </rPr>
      <t xml:space="preserve">分割 月額</t>
    </r>
    <r>
      <rPr>
        <b val="true"/>
        <sz val="10"/>
        <color rgb="FFFFFFFF"/>
        <rFont val="游ゴシック"/>
        <family val="0"/>
        <charset val="1"/>
      </rPr>
      <t xml:space="preserve">×24</t>
    </r>
  </si>
  <si>
    <t xml:space="preserve">分割の総額</t>
  </si>
  <si>
    <r>
      <rPr>
        <b val="true"/>
        <sz val="10"/>
        <color rgb="FFFFFFFF"/>
        <rFont val="Noto Sans CJK SC"/>
        <family val="2"/>
      </rPr>
      <t xml:space="preserve">差（</t>
    </r>
    <r>
      <rPr>
        <b val="true"/>
        <sz val="10"/>
        <color rgb="FFFFFFFF"/>
        <rFont val="游ゴシック"/>
        <family val="0"/>
        <charset val="1"/>
      </rPr>
      <t xml:space="preserve">0</t>
    </r>
    <r>
      <rPr>
        <b val="true"/>
        <sz val="10"/>
        <color rgb="FFFFFFFF"/>
        <rFont val="Noto Sans CJK SC"/>
        <family val="2"/>
      </rPr>
      <t xml:space="preserve">であること）</t>
    </r>
  </si>
  <si>
    <t xml:space="preserve">分割なら毎月</t>
  </si>
  <si>
    <t xml:space="preserve">どんな方に</t>
  </si>
  <si>
    <r>
      <rPr>
        <sz val="9"/>
        <color rgb="FF111C29"/>
        <rFont val="Noto Sans CJK SC"/>
        <family val="2"/>
      </rPr>
      <t xml:space="preserve">まず</t>
    </r>
    <r>
      <rPr>
        <sz val="9"/>
        <color rgb="FF111C29"/>
        <rFont val="游ゴシック"/>
        <family val="0"/>
        <charset val="1"/>
      </rPr>
      <t xml:space="preserve">1</t>
    </r>
    <r>
      <rPr>
        <sz val="9"/>
        <color rgb="FF111C29"/>
        <rFont val="Noto Sans CJK SC"/>
        <family val="2"/>
      </rPr>
      <t xml:space="preserve">枚。名刺・チラシ・</t>
    </r>
    <r>
      <rPr>
        <sz val="9"/>
        <color rgb="FF111C29"/>
        <rFont val="游ゴシック"/>
        <family val="0"/>
        <charset val="1"/>
      </rPr>
      <t xml:space="preserve">SNS</t>
    </r>
    <r>
      <rPr>
        <sz val="9"/>
        <color rgb="FF111C29"/>
        <rFont val="Noto Sans CJK SC"/>
        <family val="2"/>
      </rPr>
      <t xml:space="preserve">から飛ばす先を、自分の場所にします。</t>
    </r>
  </si>
  <si>
    <t xml:space="preserve">スタンダード　★</t>
  </si>
  <si>
    <t xml:space="preserve">プロ</t>
  </si>
  <si>
    <t xml:space="preserve">★＝いちばん多い選択。「分割なら毎月」は制作費の分割分に、そのプランに合わせた運用月額（ベーシック→運用ベーシック／スタンダード→運用スタンダード／プロ→運用グロース）を足したもの。分割は運用プランとの同時契約が条件。</t>
  </si>
  <si>
    <t xml:space="preserve">あとからページを増やすとき</t>
  </si>
  <si>
    <t xml:space="preserve">最初に払った額は次の段の差額に充てる。払い直しにはならない。</t>
  </si>
  <si>
    <t xml:space="preserve">移行</t>
  </si>
  <si>
    <t xml:space="preserve">差額</t>
  </si>
  <si>
    <t xml:space="preserve">扱い</t>
  </si>
  <si>
    <t xml:space="preserve">シングル → ベーシック</t>
  </si>
  <si>
    <t xml:space="preserve">差額のみいただく</t>
  </si>
  <si>
    <t xml:space="preserve">ベーシック → スタンダード</t>
  </si>
  <si>
    <t xml:space="preserve">スタンダード → プロ</t>
  </si>
  <si>
    <r>
      <rPr>
        <b val="true"/>
        <sz val="10"/>
        <color rgb="FF111C29"/>
        <rFont val="Noto Sans CJK SC"/>
        <family val="2"/>
      </rPr>
      <t xml:space="preserve">構成にないページを</t>
    </r>
    <r>
      <rPr>
        <b val="true"/>
        <sz val="10"/>
        <color rgb="FF111C29"/>
        <rFont val="游ゴシック"/>
        <family val="0"/>
        <charset val="1"/>
      </rPr>
      <t xml:space="preserve">1</t>
    </r>
    <r>
      <rPr>
        <b val="true"/>
        <sz val="10"/>
        <color rgb="FF111C29"/>
        <rFont val="Noto Sans CJK SC"/>
        <family val="2"/>
      </rPr>
      <t xml:space="preserve">枚足す</t>
    </r>
  </si>
  <si>
    <r>
      <rPr>
        <sz val="9"/>
        <color rgb="FF5A6B7B"/>
        <rFont val="游ゴシック"/>
        <family val="0"/>
        <charset val="1"/>
      </rPr>
      <t xml:space="preserve">1</t>
    </r>
    <r>
      <rPr>
        <sz val="9"/>
        <color rgb="FF5A6B7B"/>
        <rFont val="Noto Sans CJK SC"/>
        <family val="2"/>
      </rPr>
      <t xml:space="preserve">ページあたり。原稿・写真の聞き取り込み</t>
    </r>
  </si>
  <si>
    <t xml:space="preserve">運用プラン（月額・税別）</t>
  </si>
  <si>
    <r>
      <rPr>
        <sz val="9.5"/>
        <color rgb="FF5A6B7B"/>
        <rFont val="Noto Sans CJK SC"/>
        <family val="2"/>
      </rPr>
      <t xml:space="preserve">契約は</t>
    </r>
    <r>
      <rPr>
        <sz val="9.5"/>
        <color rgb="FF5A6B7B"/>
        <rFont val="游ゴシック"/>
        <family val="0"/>
        <charset val="1"/>
      </rPr>
      <t xml:space="preserve">3</t>
    </r>
    <r>
      <rPr>
        <sz val="9.5"/>
        <color rgb="FF5A6B7B"/>
        <rFont val="Noto Sans CJK SC"/>
        <family val="2"/>
      </rPr>
      <t xml:space="preserve">か月単位。違約金なし。やめてもサイトは残る（そこが借地との違い）。</t>
    </r>
  </si>
  <si>
    <t xml:space="preserve">月額</t>
  </si>
  <si>
    <r>
      <rPr>
        <b val="true"/>
        <sz val="10"/>
        <color rgb="FFFFFFFF"/>
        <rFont val="游ゴシック"/>
        <family val="0"/>
        <charset val="1"/>
      </rPr>
      <t xml:space="preserve">36</t>
    </r>
    <r>
      <rPr>
        <b val="true"/>
        <sz val="10"/>
        <color rgb="FFFFFFFF"/>
        <rFont val="Noto Sans CJK SC"/>
        <family val="2"/>
      </rPr>
      <t xml:space="preserve">か月の合計</t>
    </r>
  </si>
  <si>
    <t xml:space="preserve">含まれるもの</t>
  </si>
  <si>
    <r>
      <rPr>
        <sz val="9"/>
        <color rgb="FF111C29"/>
        <rFont val="游ゴシック"/>
        <family val="0"/>
        <charset val="1"/>
      </rPr>
      <t xml:space="preserve">1</t>
    </r>
    <r>
      <rPr>
        <sz val="9"/>
        <color rgb="FF111C29"/>
        <rFont val="Noto Sans CJK SC"/>
        <family val="2"/>
      </rPr>
      <t xml:space="preserve">ページのサイトを、動く状態で保つだけの最小構成。</t>
    </r>
  </si>
  <si>
    <r>
      <rPr>
        <sz val="9"/>
        <color rgb="FF111C29"/>
        <rFont val="Noto Sans CJK SC"/>
        <family val="2"/>
      </rPr>
      <t xml:space="preserve">修正・更新 何回でも／サーバー・ドメイン・</t>
    </r>
    <r>
      <rPr>
        <sz val="9"/>
        <color rgb="FF111C29"/>
        <rFont val="游ゴシック"/>
        <family val="0"/>
        <charset val="1"/>
      </rPr>
      <t xml:space="preserve">SSL</t>
    </r>
    <r>
      <rPr>
        <sz val="9"/>
        <color rgb="FF111C29"/>
        <rFont val="Noto Sans CJK SC"/>
        <family val="2"/>
      </rPr>
      <t xml:space="preserve">の管理／毎週のバックアップ／障害対応（表示されない・改ざんされた）</t>
    </r>
  </si>
  <si>
    <r>
      <rPr>
        <sz val="9"/>
        <color rgb="FF111C29"/>
        <rFont val="Noto Sans CJK SC"/>
        <family val="2"/>
      </rPr>
      <t xml:space="preserve">修正・更新 何回でも／サーバー・ドメイン・</t>
    </r>
    <r>
      <rPr>
        <sz val="9"/>
        <color rgb="FF111C29"/>
        <rFont val="游ゴシック"/>
        <family val="0"/>
        <charset val="1"/>
      </rPr>
      <t xml:space="preserve">SSL</t>
    </r>
    <r>
      <rPr>
        <sz val="9"/>
        <color rgb="FF111C29"/>
        <rFont val="Noto Sans CJK SC"/>
        <family val="2"/>
      </rPr>
      <t xml:space="preserve">の管理／毎週のバックアップ／障害対応（表示されない・改ざんされた）／管理画面とプラグインの更新／</t>
    </r>
    <r>
      <rPr>
        <sz val="9"/>
        <color rgb="FF111C29"/>
        <rFont val="游ゴシック"/>
        <family val="0"/>
        <charset val="1"/>
      </rPr>
      <t xml:space="preserve">Google</t>
    </r>
    <r>
      <rPr>
        <sz val="9"/>
        <color rgb="FF111C29"/>
        <rFont val="Noto Sans CJK SC"/>
        <family val="2"/>
      </rPr>
      <t xml:space="preserve">ビジネスプロフィールの情報同期</t>
    </r>
  </si>
  <si>
    <r>
      <rPr>
        <sz val="9"/>
        <color rgb="FF111C29"/>
        <rFont val="游ゴシック"/>
        <family val="0"/>
        <charset val="1"/>
      </rPr>
      <t xml:space="preserve">Google</t>
    </r>
    <r>
      <rPr>
        <sz val="9"/>
        <color rgb="FF111C29"/>
        <rFont val="Noto Sans CJK SC"/>
        <family val="2"/>
      </rPr>
      <t xml:space="preserve">マップからの来店を増やす運用まで。</t>
    </r>
  </si>
  <si>
    <r>
      <rPr>
        <sz val="9"/>
        <color rgb="FF111C29"/>
        <rFont val="Noto Sans CJK SC"/>
        <family val="2"/>
      </rPr>
      <t xml:space="preserve">ベーシックの内容すべて／</t>
    </r>
    <r>
      <rPr>
        <sz val="9"/>
        <color rgb="FF111C29"/>
        <rFont val="游ゴシック"/>
        <family val="0"/>
        <charset val="1"/>
      </rPr>
      <t xml:space="preserve">Google</t>
    </r>
    <r>
      <rPr>
        <sz val="9"/>
        <color rgb="FF111C29"/>
        <rFont val="Noto Sans CJK SC"/>
        <family val="2"/>
      </rPr>
      <t xml:space="preserve">マップの投稿 月</t>
    </r>
    <r>
      <rPr>
        <sz val="9"/>
        <color rgb="FF111C29"/>
        <rFont val="游ゴシック"/>
        <family val="0"/>
        <charset val="1"/>
      </rPr>
      <t xml:space="preserve">4</t>
    </r>
    <r>
      <rPr>
        <sz val="9"/>
        <color rgb="FF111C29"/>
        <rFont val="Noto Sans CJK SC"/>
        <family val="2"/>
      </rPr>
      <t xml:space="preserve">回（写真つき）／口コミへの返信代行（定型文は使いません）／月次レポート（閲覧数・流入・問い合わせ件数）／検索エラーの監視／記事の作成 </t>
    </r>
    <r>
      <rPr>
        <sz val="9"/>
        <color rgb="FF111C29"/>
        <rFont val="游ゴシック"/>
        <family val="0"/>
        <charset val="1"/>
      </rPr>
      <t xml:space="preserve">3</t>
    </r>
    <r>
      <rPr>
        <sz val="9"/>
        <color rgb="FF111C29"/>
        <rFont val="Noto Sans CJK SC"/>
        <family val="2"/>
      </rPr>
      <t xml:space="preserve">か月に</t>
    </r>
    <r>
      <rPr>
        <sz val="9"/>
        <color rgb="FF111C29"/>
        <rFont val="游ゴシック"/>
        <family val="0"/>
        <charset val="1"/>
      </rPr>
      <t xml:space="preserve">1</t>
    </r>
    <r>
      <rPr>
        <sz val="9"/>
        <color rgb="FF111C29"/>
        <rFont val="Noto Sans CJK SC"/>
        <family val="2"/>
      </rPr>
      <t xml:space="preserve">本</t>
    </r>
  </si>
  <si>
    <r>
      <rPr>
        <sz val="9"/>
        <color rgb="FF111C29"/>
        <rFont val="Noto Sans CJK SC"/>
        <family val="2"/>
      </rPr>
      <t xml:space="preserve">スタンダードの内容すべて／広告運用（月の広告予算</t>
    </r>
    <r>
      <rPr>
        <sz val="9"/>
        <color rgb="FF111C29"/>
        <rFont val="游ゴシック"/>
        <family val="0"/>
        <charset val="1"/>
      </rPr>
      <t xml:space="preserve">20</t>
    </r>
    <r>
      <rPr>
        <sz val="9"/>
        <color rgb="FF111C29"/>
        <rFont val="Noto Sans CJK SC"/>
        <family val="2"/>
      </rPr>
      <t xml:space="preserve">万円まで・手数料込み）／クリック単価・獲得単価の改善／ポータルサイト掲載費の棚卸しと見直し提案／記事の作成 月</t>
    </r>
    <r>
      <rPr>
        <sz val="9"/>
        <color rgb="FF111C29"/>
        <rFont val="游ゴシック"/>
        <family val="0"/>
        <charset val="1"/>
      </rPr>
      <t xml:space="preserve">1</t>
    </r>
    <r>
      <rPr>
        <sz val="9"/>
        <color rgb="FF111C29"/>
        <rFont val="Noto Sans CJK SC"/>
        <family val="2"/>
      </rPr>
      <t xml:space="preserve">本／月</t>
    </r>
    <r>
      <rPr>
        <sz val="9"/>
        <color rgb="FF111C29"/>
        <rFont val="游ゴシック"/>
        <family val="0"/>
        <charset val="1"/>
      </rPr>
      <t xml:space="preserve">1</t>
    </r>
    <r>
      <rPr>
        <sz val="9"/>
        <color rgb="FF111C29"/>
        <rFont val="Noto Sans CJK SC"/>
        <family val="2"/>
      </rPr>
      <t xml:space="preserve">回のオンライン相談（</t>
    </r>
    <r>
      <rPr>
        <sz val="9"/>
        <color rgb="FF111C29"/>
        <rFont val="游ゴシック"/>
        <family val="0"/>
        <charset val="1"/>
      </rPr>
      <t xml:space="preserve">30</t>
    </r>
    <r>
      <rPr>
        <sz val="9"/>
        <color rgb="FF111C29"/>
        <rFont val="Noto Sans CJK SC"/>
        <family val="2"/>
      </rPr>
      <t xml:space="preserve">分）</t>
    </r>
  </si>
  <si>
    <r>
      <rPr>
        <sz val="9"/>
        <color rgb="FF5A6B7B"/>
        <rFont val="Noto Sans CJK SC"/>
        <family val="2"/>
      </rPr>
      <t xml:space="preserve">★＝いちばん多い選択。運用の中心は「口コミの鮮度を保つこと」。ホームページを直すことより、</t>
    </r>
    <r>
      <rPr>
        <sz val="9"/>
        <color rgb="FF5A6B7B"/>
        <rFont val="游ゴシック"/>
        <family val="0"/>
        <charset val="1"/>
      </rPr>
      <t xml:space="preserve">Google</t>
    </r>
    <r>
      <rPr>
        <sz val="9"/>
        <color rgb="FF5A6B7B"/>
        <rFont val="Noto Sans CJK SC"/>
        <family val="2"/>
      </rPr>
      <t xml:space="preserve">マップの投稿と口コミへの返信のほうが来店に効く。</t>
    </r>
  </si>
  <si>
    <t xml:space="preserve">別途いただくもの（税別）</t>
  </si>
  <si>
    <t xml:space="preserve">運用プランに含まれないものだけ。</t>
  </si>
  <si>
    <t xml:space="preserve">金額</t>
  </si>
  <si>
    <t xml:space="preserve">ページ追加（既存構成にないもの）</t>
  </si>
  <si>
    <t xml:space="preserve">原稿・写真の聞き取り込み</t>
  </si>
  <si>
    <r>
      <rPr>
        <sz val="10"/>
        <color rgb="FF111C29"/>
        <rFont val="Noto Sans CJK SC"/>
        <family val="2"/>
      </rPr>
      <t xml:space="preserve">出張撮影 半日（</t>
    </r>
    <r>
      <rPr>
        <sz val="10"/>
        <color rgb="FF111C29"/>
        <rFont val="游ゴシック"/>
        <family val="0"/>
        <charset val="1"/>
      </rPr>
      <t xml:space="preserve">30</t>
    </r>
    <r>
      <rPr>
        <sz val="10"/>
        <color rgb="FF111C29"/>
        <rFont val="Noto Sans CJK SC"/>
        <family val="2"/>
      </rPr>
      <t xml:space="preserve">カット・交通費は実費）</t>
    </r>
  </si>
  <si>
    <t xml:space="preserve">全プランに標準で含まれます</t>
  </si>
  <si>
    <r>
      <rPr>
        <sz val="10"/>
        <color rgb="FF111C29"/>
        <rFont val="Noto Sans CJK SC"/>
        <family val="2"/>
      </rPr>
      <t xml:space="preserve">出張撮影 </t>
    </r>
    <r>
      <rPr>
        <sz val="10"/>
        <color rgb="FF111C29"/>
        <rFont val="游ゴシック"/>
        <family val="0"/>
        <charset val="1"/>
      </rPr>
      <t xml:space="preserve">1</t>
    </r>
    <r>
      <rPr>
        <sz val="10"/>
        <color rgb="FF111C29"/>
        <rFont val="Noto Sans CJK SC"/>
        <family val="2"/>
      </rPr>
      <t xml:space="preserve">日（</t>
    </r>
    <r>
      <rPr>
        <sz val="10"/>
        <color rgb="FF111C29"/>
        <rFont val="游ゴシック"/>
        <family val="0"/>
        <charset val="1"/>
      </rPr>
      <t xml:space="preserve">80</t>
    </r>
    <r>
      <rPr>
        <sz val="10"/>
        <color rgb="FF111C29"/>
        <rFont val="Noto Sans CJK SC"/>
        <family val="2"/>
      </rPr>
      <t xml:space="preserve">カット・交通費は実費）</t>
    </r>
  </si>
  <si>
    <t xml:space="preserve">プロプランに標準で含まれます</t>
  </si>
  <si>
    <r>
      <rPr>
        <sz val="10"/>
        <color rgb="FF111C29"/>
        <rFont val="Noto Sans CJK SC"/>
        <family val="2"/>
      </rPr>
      <t xml:space="preserve">ロゴ制作（</t>
    </r>
    <r>
      <rPr>
        <sz val="10"/>
        <color rgb="FF111C29"/>
        <rFont val="游ゴシック"/>
        <family val="0"/>
        <charset val="1"/>
      </rPr>
      <t xml:space="preserve">3</t>
    </r>
    <r>
      <rPr>
        <sz val="10"/>
        <color rgb="FF111C29"/>
        <rFont val="Noto Sans CJK SC"/>
        <family val="2"/>
      </rPr>
      <t xml:space="preserve">案・使用ルール付き）</t>
    </r>
  </si>
  <si>
    <t xml:space="preserve">記事の作成（取材あり）</t>
  </si>
  <si>
    <t xml:space="preserve">取材なしは運用プランに含まれます</t>
  </si>
  <si>
    <r>
      <rPr>
        <sz val="10"/>
        <color rgb="FF111C29"/>
        <rFont val="Noto Sans CJK SC"/>
        <family val="2"/>
      </rPr>
      <t xml:space="preserve">ランディングページ </t>
    </r>
    <r>
      <rPr>
        <sz val="10"/>
        <color rgb="FF111C29"/>
        <rFont val="游ゴシック"/>
        <family val="0"/>
        <charset val="1"/>
      </rPr>
      <t xml:space="preserve">1</t>
    </r>
    <r>
      <rPr>
        <sz val="10"/>
        <color rgb="FF111C29"/>
        <rFont val="Noto Sans CJK SC"/>
        <family val="2"/>
      </rPr>
      <t xml:space="preserve">枚</t>
    </r>
  </si>
  <si>
    <t xml:space="preserve">キャンペーン・単一商品向け</t>
  </si>
  <si>
    <t xml:space="preserve">予約システムの連携</t>
  </si>
  <si>
    <t xml:space="preserve">月額はお客様が直接ご契約（当方は設定費のみ）</t>
  </si>
  <si>
    <r>
      <rPr>
        <sz val="10"/>
        <color rgb="FF111C29"/>
        <rFont val="Noto Sans CJK SC"/>
        <family val="2"/>
      </rPr>
      <t xml:space="preserve">多言語対応 </t>
    </r>
    <r>
      <rPr>
        <sz val="10"/>
        <color rgb="FF111C29"/>
        <rFont val="游ゴシック"/>
        <family val="0"/>
        <charset val="1"/>
      </rPr>
      <t xml:space="preserve">1</t>
    </r>
    <r>
      <rPr>
        <sz val="10"/>
        <color rgb="FF111C29"/>
        <rFont val="Noto Sans CJK SC"/>
        <family val="2"/>
      </rPr>
      <t xml:space="preserve">言語（</t>
    </r>
    <r>
      <rPr>
        <sz val="10"/>
        <color rgb="FF111C29"/>
        <rFont val="游ゴシック"/>
        <family val="0"/>
        <charset val="1"/>
      </rPr>
      <t xml:space="preserve">10</t>
    </r>
    <r>
      <rPr>
        <sz val="10"/>
        <color rgb="FF111C29"/>
        <rFont val="Noto Sans CJK SC"/>
        <family val="2"/>
      </rPr>
      <t xml:space="preserve">ページ以下）</t>
    </r>
  </si>
  <si>
    <t xml:space="preserve">標準で含むもの（追加料金なし）</t>
  </si>
  <si>
    <t xml:space="preserve">他社では別料金になりがちなもの。</t>
  </si>
  <si>
    <t xml:space="preserve">他社の一般的な扱い</t>
  </si>
  <si>
    <t xml:space="preserve">修正・更新（無制限の範囲内）</t>
  </si>
  <si>
    <r>
      <rPr>
        <b val="true"/>
        <sz val="10"/>
        <color rgb="FF0E7A45"/>
        <rFont val="游ゴシック"/>
        <family val="0"/>
        <charset val="1"/>
      </rPr>
      <t xml:space="preserve">0</t>
    </r>
    <r>
      <rPr>
        <b val="true"/>
        <sz val="10"/>
        <color rgb="FF0E7A45"/>
        <rFont val="Noto Sans CJK SC"/>
        <family val="2"/>
      </rPr>
      <t xml:space="preserve">円</t>
    </r>
  </si>
  <si>
    <r>
      <rPr>
        <sz val="9"/>
        <color rgb="FF5A6B7B"/>
        <rFont val="Noto Sans CJK SC"/>
        <family val="2"/>
      </rPr>
      <t xml:space="preserve">他社の相場は</t>
    </r>
    <r>
      <rPr>
        <sz val="9"/>
        <color rgb="FF5A6B7B"/>
        <rFont val="游ゴシック"/>
        <family val="0"/>
        <charset val="1"/>
      </rPr>
      <t xml:space="preserve">1</t>
    </r>
    <r>
      <rPr>
        <sz val="9"/>
        <color rgb="FF5A6B7B"/>
        <rFont val="Noto Sans CJK SC"/>
        <family val="2"/>
      </rPr>
      <t xml:space="preserve">箇所</t>
    </r>
    <r>
      <rPr>
        <sz val="9"/>
        <color rgb="FF5A6B7B"/>
        <rFont val="游ゴシック"/>
        <family val="0"/>
        <charset val="1"/>
      </rPr>
      <t xml:space="preserve">3,000</t>
    </r>
    <r>
      <rPr>
        <sz val="9"/>
        <color rgb="FF5A6B7B"/>
        <rFont val="Noto Sans CJK SC"/>
        <family val="2"/>
      </rPr>
      <t xml:space="preserve">〜</t>
    </r>
    <r>
      <rPr>
        <sz val="9"/>
        <color rgb="FF5A6B7B"/>
        <rFont val="游ゴシック"/>
        <family val="0"/>
        <charset val="1"/>
      </rPr>
      <t xml:space="preserve">5,500</t>
    </r>
    <r>
      <rPr>
        <sz val="9"/>
        <color rgb="FF5A6B7B"/>
        <rFont val="Noto Sans CJK SC"/>
        <family val="2"/>
      </rPr>
      <t xml:space="preserve">円</t>
    </r>
  </si>
  <si>
    <t xml:space="preserve">ソースコード一式の納品</t>
  </si>
  <si>
    <r>
      <rPr>
        <sz val="9"/>
        <color rgb="FF5A6B7B"/>
        <rFont val="游ゴシック"/>
        <family val="0"/>
        <charset val="1"/>
      </rPr>
      <t xml:space="preserve">GitHub</t>
    </r>
    <r>
      <rPr>
        <sz val="9"/>
        <color rgb="FF5A6B7B"/>
        <rFont val="Noto Sans CJK SC"/>
        <family val="2"/>
      </rPr>
      <t xml:space="preserve">に閲覧権限でご招待します</t>
    </r>
  </si>
  <si>
    <t xml:space="preserve">構造化データの設定</t>
  </si>
  <si>
    <r>
      <rPr>
        <sz val="9"/>
        <color rgb="FF5A6B7B"/>
        <rFont val="游ゴシック"/>
        <family val="0"/>
        <charset val="1"/>
      </rPr>
      <t xml:space="preserve">Google</t>
    </r>
    <r>
      <rPr>
        <sz val="9"/>
        <color rgb="FF5A6B7B"/>
        <rFont val="Noto Sans CJK SC"/>
        <family val="2"/>
      </rPr>
      <t xml:space="preserve">に </t>
    </r>
    <r>
      <rPr>
        <sz val="9"/>
        <color rgb="FF5A6B7B"/>
        <rFont val="游ゴシック"/>
        <family val="0"/>
        <charset val="1"/>
      </rPr>
      <t xml:space="preserve">business </t>
    </r>
    <r>
      <rPr>
        <sz val="9"/>
        <color rgb="FF5A6B7B"/>
        <rFont val="Noto Sans CJK SC"/>
        <family val="2"/>
      </rPr>
      <t xml:space="preserve">の情報を正しく伝える設定</t>
    </r>
  </si>
  <si>
    <t xml:space="preserve">表示速度の実測レポート</t>
  </si>
  <si>
    <r>
      <rPr>
        <sz val="9"/>
        <color rgb="FF5A6B7B"/>
        <rFont val="游ゴシック"/>
        <family val="0"/>
        <charset val="1"/>
      </rPr>
      <t xml:space="preserve">2.5</t>
    </r>
    <r>
      <rPr>
        <sz val="9"/>
        <color rgb="FF5A6B7B"/>
        <rFont val="Noto Sans CJK SC"/>
        <family val="2"/>
      </rPr>
      <t xml:space="preserve">秒以内を納品条件として保証します</t>
    </r>
  </si>
  <si>
    <r>
      <rPr>
        <b val="true"/>
        <sz val="10"/>
        <color rgb="FF111C29"/>
        <rFont val="游ゴシック"/>
        <family val="0"/>
        <charset val="1"/>
      </rPr>
      <t xml:space="preserve">Google</t>
    </r>
    <r>
      <rPr>
        <b val="true"/>
        <sz val="10"/>
        <color rgb="FF111C29"/>
        <rFont val="Noto Sans CJK SC"/>
        <family val="2"/>
      </rPr>
      <t xml:space="preserve">ビジネスプロフィールの連携設定</t>
    </r>
  </si>
  <si>
    <r>
      <rPr>
        <sz val="9"/>
        <color rgb="FF5A6B7B"/>
        <rFont val="游ゴシック"/>
        <family val="0"/>
        <charset val="1"/>
      </rPr>
      <t xml:space="preserve">Google</t>
    </r>
    <r>
      <rPr>
        <sz val="9"/>
        <color rgb="FF5A6B7B"/>
        <rFont val="Noto Sans CJK SC"/>
        <family val="2"/>
      </rPr>
      <t xml:space="preserve">の規約に沿った正しい紐付け</t>
    </r>
  </si>
  <si>
    <t xml:space="preserve">他社のスポット料金の相場</t>
  </si>
  <si>
    <t xml:space="preserve">「無制限」の価値を測るための物差し。</t>
  </si>
  <si>
    <t xml:space="preserve">相場</t>
  </si>
  <si>
    <t xml:space="preserve">文章の修正</t>
  </si>
  <si>
    <r>
      <rPr>
        <sz val="10"/>
        <color rgb="FF111C29"/>
        <rFont val="游ゴシック"/>
        <family val="0"/>
        <charset val="1"/>
      </rPr>
      <t xml:space="preserve">3,000</t>
    </r>
    <r>
      <rPr>
        <sz val="10"/>
        <color rgb="FF111C29"/>
        <rFont val="Noto Sans CJK SC"/>
        <family val="2"/>
      </rPr>
      <t xml:space="preserve">円／箇所</t>
    </r>
  </si>
  <si>
    <t xml:space="preserve">画像の差し替え</t>
  </si>
  <si>
    <r>
      <rPr>
        <sz val="10"/>
        <color rgb="FF111C29"/>
        <rFont val="游ゴシック"/>
        <family val="0"/>
        <charset val="1"/>
      </rPr>
      <t xml:space="preserve">5,000</t>
    </r>
    <r>
      <rPr>
        <sz val="10"/>
        <color rgb="FF111C29"/>
        <rFont val="Noto Sans CJK SC"/>
        <family val="2"/>
      </rPr>
      <t xml:space="preserve">円／箇所</t>
    </r>
  </si>
  <si>
    <t xml:space="preserve">作業時間で課金</t>
  </si>
  <si>
    <r>
      <rPr>
        <sz val="10"/>
        <color rgb="FF111C29"/>
        <rFont val="游ゴシック"/>
        <family val="0"/>
        <charset val="1"/>
      </rPr>
      <t xml:space="preserve">10,000</t>
    </r>
    <r>
      <rPr>
        <sz val="10"/>
        <color rgb="FF111C29"/>
        <rFont val="Noto Sans CJK SC"/>
        <family val="2"/>
      </rPr>
      <t xml:space="preserve">円／時間</t>
    </r>
  </si>
  <si>
    <t xml:space="preserve">ページ追加</t>
  </si>
  <si>
    <r>
      <rPr>
        <sz val="10"/>
        <color rgb="FF111C29"/>
        <rFont val="游ゴシック"/>
        <family val="0"/>
        <charset val="1"/>
      </rPr>
      <t xml:space="preserve">20,000</t>
    </r>
    <r>
      <rPr>
        <sz val="10"/>
        <color rgb="FF111C29"/>
        <rFont val="Noto Sans CJK SC"/>
        <family val="2"/>
      </rPr>
      <t xml:space="preserve">円／ページ</t>
    </r>
  </si>
  <si>
    <r>
      <rPr>
        <sz val="9"/>
        <color rgb="FF5A6B7B"/>
        <rFont val="Noto Sans CJK SC"/>
        <family val="2"/>
      </rPr>
      <t xml:space="preserve">相場でいうと文章の修正が</t>
    </r>
    <r>
      <rPr>
        <sz val="9"/>
        <color rgb="FF5A6B7B"/>
        <rFont val="游ゴシック"/>
        <family val="0"/>
        <charset val="1"/>
      </rPr>
      <t xml:space="preserve">1</t>
    </r>
    <r>
      <rPr>
        <sz val="9"/>
        <color rgb="FF5A6B7B"/>
        <rFont val="Noto Sans CJK SC"/>
        <family val="2"/>
      </rPr>
      <t xml:space="preserve">箇所</t>
    </r>
    <r>
      <rPr>
        <sz val="9"/>
        <color rgb="FF5A6B7B"/>
        <rFont val="游ゴシック"/>
        <family val="0"/>
        <charset val="1"/>
      </rPr>
      <t xml:space="preserve">3,000</t>
    </r>
    <r>
      <rPr>
        <sz val="9"/>
        <color rgb="FF5A6B7B"/>
        <rFont val="Noto Sans CJK SC"/>
        <family val="2"/>
      </rPr>
      <t xml:space="preserve">円、画像の差し替えが</t>
    </r>
    <r>
      <rPr>
        <sz val="9"/>
        <color rgb="FF5A6B7B"/>
        <rFont val="游ゴシック"/>
        <family val="0"/>
        <charset val="1"/>
      </rPr>
      <t xml:space="preserve">5,000</t>
    </r>
    <r>
      <rPr>
        <sz val="9"/>
        <color rgb="FF5A6B7B"/>
        <rFont val="Noto Sans CJK SC"/>
        <family val="2"/>
      </rPr>
      <t xml:space="preserve">円。メニューの値段を年</t>
    </r>
    <r>
      <rPr>
        <sz val="9"/>
        <color rgb="FF5A6B7B"/>
        <rFont val="游ゴシック"/>
        <family val="0"/>
        <charset val="1"/>
      </rPr>
      <t xml:space="preserve">4</t>
    </r>
    <r>
      <rPr>
        <sz val="9"/>
        <color rgb="FF5A6B7B"/>
        <rFont val="Noto Sans CJK SC"/>
        <family val="2"/>
      </rPr>
      <t xml:space="preserve">回変えるだけで年</t>
    </r>
    <r>
      <rPr>
        <sz val="9"/>
        <color rgb="FF5A6B7B"/>
        <rFont val="游ゴシック"/>
        <family val="0"/>
        <charset val="1"/>
      </rPr>
      <t xml:space="preserve">12,000</t>
    </r>
    <r>
      <rPr>
        <sz val="9"/>
        <color rgb="FF5A6B7B"/>
        <rFont val="Noto Sans CJK SC"/>
        <family val="2"/>
      </rPr>
      <t xml:space="preserve">円、臨時休業のお知らせを月</t>
    </r>
    <r>
      <rPr>
        <sz val="9"/>
        <color rgb="FF5A6B7B"/>
        <rFont val="游ゴシック"/>
        <family val="0"/>
        <charset val="1"/>
      </rPr>
      <t xml:space="preserve">1</t>
    </r>
    <r>
      <rPr>
        <sz val="9"/>
        <color rgb="FF5A6B7B"/>
        <rFont val="Noto Sans CJK SC"/>
        <family val="2"/>
      </rPr>
      <t xml:space="preserve">回出すだけで年</t>
    </r>
    <r>
      <rPr>
        <sz val="9"/>
        <color rgb="FF5A6B7B"/>
        <rFont val="游ゴシック"/>
        <family val="0"/>
        <charset val="1"/>
      </rPr>
      <t xml:space="preserve">36,000</t>
    </r>
    <r>
      <rPr>
        <sz val="9"/>
        <color rgb="FF5A6B7B"/>
        <rFont val="Noto Sans CJK SC"/>
        <family val="2"/>
      </rPr>
      <t xml:space="preserve">円になる。</t>
    </r>
  </si>
  <si>
    <t xml:space="preserve">何回でも無料でお受けするもの</t>
  </si>
  <si>
    <t xml:space="preserve">「無制限」と書く以上、どこまでが含まれてどこからが別料金かを全部書く。曖昧にすると必ず揉める。</t>
  </si>
  <si>
    <t xml:space="preserve">文章の修正・差し替え</t>
  </si>
  <si>
    <t xml:space="preserve">回数の上限なし</t>
  </si>
  <si>
    <t xml:space="preserve">写真の差し替え</t>
  </si>
  <si>
    <t xml:space="preserve">メニュー・料金の変更</t>
  </si>
  <si>
    <t xml:space="preserve">営業時間・定休日の変更</t>
  </si>
  <si>
    <t xml:space="preserve">お知らせの投稿</t>
  </si>
  <si>
    <t xml:space="preserve">スタッフの追加・入れ替え</t>
  </si>
  <si>
    <t xml:space="preserve">施工事例・スタイルの追加</t>
  </si>
  <si>
    <t xml:space="preserve">リンクの修正</t>
  </si>
  <si>
    <t xml:space="preserve">既存ページの中での並べ替え</t>
  </si>
  <si>
    <t xml:space="preserve">別途お見積りになるもの</t>
  </si>
  <si>
    <t xml:space="preserve">目安</t>
  </si>
  <si>
    <t xml:space="preserve">新しいページの追加</t>
  </si>
  <si>
    <t xml:space="preserve">既存の構成にないページ</t>
  </si>
  <si>
    <r>
      <rPr>
        <sz val="10"/>
        <color rgb="FF111C29"/>
        <rFont val="游ゴシック"/>
        <family val="0"/>
        <charset val="1"/>
      </rPr>
      <t xml:space="preserve">33,000</t>
    </r>
    <r>
      <rPr>
        <sz val="10"/>
        <color rgb="FF111C29"/>
        <rFont val="Noto Sans CJK SC"/>
        <family val="2"/>
      </rPr>
      <t xml:space="preserve">円／ページ</t>
    </r>
  </si>
  <si>
    <t xml:space="preserve">デザインの全面変更</t>
  </si>
  <si>
    <t xml:space="preserve">配色・レイアウトを一から作り直す場合</t>
  </si>
  <si>
    <t xml:space="preserve">都度お見積り</t>
  </si>
  <si>
    <t xml:space="preserve">他社サイトからの移管</t>
  </si>
  <si>
    <t xml:space="preserve">既存サイトの引っ越し</t>
  </si>
  <si>
    <t xml:space="preserve">新しい機能の追加</t>
  </si>
  <si>
    <t xml:space="preserve">予約システム・ネットショップ・会員機能など</t>
  </si>
  <si>
    <t xml:space="preserve">ロゴの新規制作</t>
  </si>
  <si>
    <r>
      <rPr>
        <sz val="10"/>
        <color rgb="FF111C29"/>
        <rFont val="游ゴシック"/>
        <family val="0"/>
        <charset val="1"/>
      </rPr>
      <t xml:space="preserve">88,000</t>
    </r>
    <r>
      <rPr>
        <sz val="10"/>
        <color rgb="FF111C29"/>
        <rFont val="Noto Sans CJK SC"/>
        <family val="2"/>
      </rPr>
      <t xml:space="preserve">円</t>
    </r>
  </si>
  <si>
    <t xml:space="preserve">撮影の追加</t>
  </si>
  <si>
    <r>
      <rPr>
        <sz val="9.5"/>
        <color rgb="FF111C29"/>
        <rFont val="Noto Sans CJK SC"/>
        <family val="2"/>
      </rPr>
      <t xml:space="preserve">半日／</t>
    </r>
    <r>
      <rPr>
        <sz val="9.5"/>
        <color rgb="FF111C29"/>
        <rFont val="游ゴシック"/>
        <family val="0"/>
        <charset val="1"/>
      </rPr>
      <t xml:space="preserve">1</t>
    </r>
    <r>
      <rPr>
        <sz val="9.5"/>
        <color rgb="FF111C29"/>
        <rFont val="Noto Sans CJK SC"/>
        <family val="2"/>
      </rPr>
      <t xml:space="preserve">日</t>
    </r>
  </si>
  <si>
    <r>
      <rPr>
        <sz val="10"/>
        <color rgb="FF111C29"/>
        <rFont val="游ゴシック"/>
        <family val="0"/>
        <charset val="1"/>
      </rPr>
      <t xml:space="preserve">55,000</t>
    </r>
    <r>
      <rPr>
        <sz val="10"/>
        <color rgb="FF111C29"/>
        <rFont val="Noto Sans CJK SC"/>
        <family val="2"/>
      </rPr>
      <t xml:space="preserve">円／</t>
    </r>
    <r>
      <rPr>
        <sz val="10"/>
        <color rgb="FF111C29"/>
        <rFont val="游ゴシック"/>
        <family val="0"/>
        <charset val="1"/>
      </rPr>
      <t xml:space="preserve">88,000</t>
    </r>
    <r>
      <rPr>
        <sz val="10"/>
        <color rgb="FF111C29"/>
        <rFont val="Noto Sans CJK SC"/>
        <family val="2"/>
      </rPr>
      <t xml:space="preserve">円</t>
    </r>
  </si>
  <si>
    <r>
      <rPr>
        <sz val="9"/>
        <color rgb="FF5A6B7B"/>
        <rFont val="Noto Sans CJK SC"/>
        <family val="2"/>
      </rPr>
      <t xml:space="preserve">作業時間の目安：実際のご依頼は月</t>
    </r>
    <r>
      <rPr>
        <sz val="9"/>
        <color rgb="FF5A6B7B"/>
        <rFont val="游ゴシック"/>
        <family val="0"/>
        <charset val="1"/>
      </rPr>
      <t xml:space="preserve">1</t>
    </r>
    <r>
      <rPr>
        <sz val="9"/>
        <color rgb="FF5A6B7B"/>
        <rFont val="Noto Sans CJK SC"/>
        <family val="2"/>
      </rPr>
      <t xml:space="preserve">〜</t>
    </r>
    <r>
      <rPr>
        <sz val="9"/>
        <color rgb="FF5A6B7B"/>
        <rFont val="游ゴシック"/>
        <family val="0"/>
        <charset val="1"/>
      </rPr>
      <t xml:space="preserve">2</t>
    </r>
    <r>
      <rPr>
        <sz val="9"/>
        <color rgb="FF5A6B7B"/>
        <rFont val="Noto Sans CJK SC"/>
        <family val="2"/>
      </rPr>
      <t xml:space="preserve">時間で収まることが多いです。それを超えても追加請求はしません。ただし</t>
    </r>
    <r>
      <rPr>
        <sz val="9"/>
        <color rgb="FF5A6B7B"/>
        <rFont val="游ゴシック"/>
        <family val="0"/>
        <charset val="1"/>
      </rPr>
      <t xml:space="preserve">3</t>
    </r>
    <r>
      <rPr>
        <sz val="9"/>
        <color rgb="FF5A6B7B"/>
        <rFont val="Noto Sans CJK SC"/>
        <family val="2"/>
      </rPr>
      <t xml:space="preserve">か月の平均で月</t>
    </r>
    <r>
      <rPr>
        <sz val="9"/>
        <color rgb="FF5A6B7B"/>
        <rFont val="游ゴシック"/>
        <family val="0"/>
        <charset val="1"/>
      </rPr>
      <t xml:space="preserve">4</t>
    </r>
    <r>
      <rPr>
        <sz val="9"/>
        <color rgb="FF5A6B7B"/>
        <rFont val="Noto Sans CJK SC"/>
        <family val="2"/>
      </rPr>
      <t xml:space="preserve">時間を大きく超える場合は、上位のプランをご案内します。</t>
    </r>
  </si>
  <si>
    <r>
      <rPr>
        <sz val="9"/>
        <color rgb="FF5A6B7B"/>
        <rFont val="Noto Sans CJK SC"/>
        <family val="2"/>
      </rPr>
      <t xml:space="preserve">運用のしかた：①依頼の窓口はひとつにする（電話・</t>
    </r>
    <r>
      <rPr>
        <sz val="9"/>
        <color rgb="FF5A6B7B"/>
        <rFont val="游ゴシック"/>
        <family val="0"/>
        <charset val="1"/>
      </rPr>
      <t xml:space="preserve">LINE</t>
    </r>
    <r>
      <rPr>
        <sz val="9"/>
        <color rgb="FF5A6B7B"/>
        <rFont val="Noto Sans CJK SC"/>
        <family val="2"/>
      </rPr>
      <t xml:space="preserve">・メールに散ると漏れる）／②作業した時間を記録して毎月知らせる（測っていない『無制限』は信用できない）／③</t>
    </r>
    <r>
      <rPr>
        <sz val="9"/>
        <color rgb="FF5A6B7B"/>
        <rFont val="游ゴシック"/>
        <family val="0"/>
        <charset val="1"/>
      </rPr>
      <t xml:space="preserve">3</t>
    </r>
    <r>
      <rPr>
        <sz val="9"/>
        <color rgb="FF5A6B7B"/>
        <rFont val="Noto Sans CJK SC"/>
        <family val="2"/>
      </rPr>
      <t xml:space="preserve">か月の平均で大きく超えた場合だけ上位プランを案内する（その場で断ったり追加請求はしない）。</t>
    </r>
  </si>
  <si>
    <r>
      <rPr>
        <b val="true"/>
        <sz val="15"/>
        <color rgb="FF1F3049"/>
        <rFont val="Noto Sans CJK SC"/>
        <family val="2"/>
      </rPr>
      <t xml:space="preserve">月額制との</t>
    </r>
    <r>
      <rPr>
        <b val="true"/>
        <sz val="15"/>
        <color rgb="FF1F3049"/>
        <rFont val="游ゴシック"/>
        <family val="0"/>
        <charset val="1"/>
      </rPr>
      <t xml:space="preserve">36</t>
    </r>
    <r>
      <rPr>
        <b val="true"/>
        <sz val="15"/>
        <color rgb="FF1F3049"/>
        <rFont val="Noto Sans CJK SC"/>
        <family val="2"/>
      </rPr>
      <t xml:space="preserve">か月の総額</t>
    </r>
  </si>
  <si>
    <r>
      <rPr>
        <sz val="9.5"/>
        <color rgb="FF5A6B7B"/>
        <rFont val="Noto Sans CJK SC"/>
        <family val="2"/>
      </rPr>
      <t xml:space="preserve">月々だけ見ると月額制が安く見える。総額と、サイトが自分のものになる時点の</t>
    </r>
    <r>
      <rPr>
        <sz val="9.5"/>
        <color rgb="FF5A6B7B"/>
        <rFont val="游ゴシック"/>
        <family val="0"/>
        <charset val="1"/>
      </rPr>
      <t xml:space="preserve">2</t>
    </r>
    <r>
      <rPr>
        <sz val="9.5"/>
        <color rgb="FF5A6B7B"/>
        <rFont val="Noto Sans CJK SC"/>
        <family val="2"/>
      </rPr>
      <t xml:space="preserve">つで比べる。当方が高くなる行も消さずに載せている。</t>
    </r>
  </si>
  <si>
    <t xml:space="preserve">月額制（公開料金）</t>
  </si>
  <si>
    <t xml:space="preserve">初期費用</t>
  </si>
  <si>
    <r>
      <rPr>
        <b val="true"/>
        <sz val="10"/>
        <color rgb="FFFFFFFF"/>
        <rFont val="游ゴシック"/>
        <family val="0"/>
        <charset val="1"/>
      </rPr>
      <t xml:space="preserve">36</t>
    </r>
    <r>
      <rPr>
        <b val="true"/>
        <sz val="10"/>
        <color rgb="FFFFFFFF"/>
        <rFont val="Noto Sans CJK SC"/>
        <family val="2"/>
      </rPr>
      <t xml:space="preserve">か月の総額</t>
    </r>
  </si>
  <si>
    <t xml:space="preserve">紬のプラン</t>
  </si>
  <si>
    <t xml:space="preserve">運用 月額</t>
  </si>
  <si>
    <t xml:space="preserve">差（紬−月額制）</t>
  </si>
  <si>
    <r>
      <rPr>
        <sz val="10"/>
        <color rgb="FF111C29"/>
        <rFont val="Noto Sans CJK SC"/>
        <family val="2"/>
      </rPr>
      <t xml:space="preserve">月額制</t>
    </r>
    <r>
      <rPr>
        <sz val="10"/>
        <color rgb="FF111C29"/>
        <rFont val="游ゴシック"/>
        <family val="0"/>
        <charset val="1"/>
      </rPr>
      <t xml:space="preserve">A</t>
    </r>
    <r>
      <rPr>
        <sz val="10"/>
        <color rgb="FF111C29"/>
        <rFont val="Noto Sans CJK SC"/>
        <family val="2"/>
      </rPr>
      <t xml:space="preserve">社 </t>
    </r>
    <r>
      <rPr>
        <sz val="10"/>
        <color rgb="FF111C29"/>
        <rFont val="游ゴシック"/>
        <family val="0"/>
        <charset val="1"/>
      </rPr>
      <t xml:space="preserve">1</t>
    </r>
    <r>
      <rPr>
        <sz val="10"/>
        <color rgb="FF111C29"/>
        <rFont val="Noto Sans CJK SC"/>
        <family val="2"/>
      </rPr>
      <t xml:space="preserve">ページ</t>
    </r>
  </si>
  <si>
    <r>
      <rPr>
        <sz val="10"/>
        <color rgb="FF111C29"/>
        <rFont val="Noto Sans CJK SC"/>
        <family val="2"/>
      </rPr>
      <t xml:space="preserve">月額制</t>
    </r>
    <r>
      <rPr>
        <sz val="10"/>
        <color rgb="FF111C29"/>
        <rFont val="游ゴシック"/>
        <family val="0"/>
        <charset val="1"/>
      </rPr>
      <t xml:space="preserve">A</t>
    </r>
    <r>
      <rPr>
        <sz val="10"/>
        <color rgb="FF111C29"/>
        <rFont val="Noto Sans CJK SC"/>
        <family val="2"/>
      </rPr>
      <t xml:space="preserve">社 </t>
    </r>
    <r>
      <rPr>
        <sz val="10"/>
        <color rgb="FF111C29"/>
        <rFont val="游ゴシック"/>
        <family val="0"/>
        <charset val="1"/>
      </rPr>
      <t xml:space="preserve">2</t>
    </r>
    <r>
      <rPr>
        <sz val="10"/>
        <color rgb="FF111C29"/>
        <rFont val="Noto Sans CJK SC"/>
        <family val="2"/>
      </rPr>
      <t xml:space="preserve">〜</t>
    </r>
    <r>
      <rPr>
        <sz val="10"/>
        <color rgb="FF111C29"/>
        <rFont val="游ゴシック"/>
        <family val="0"/>
        <charset val="1"/>
      </rPr>
      <t xml:space="preserve">6</t>
    </r>
    <r>
      <rPr>
        <sz val="10"/>
        <color rgb="FF111C29"/>
        <rFont val="Noto Sans CJK SC"/>
        <family val="2"/>
      </rPr>
      <t xml:space="preserve">ページ</t>
    </r>
  </si>
  <si>
    <r>
      <rPr>
        <sz val="10"/>
        <color rgb="FF111C29"/>
        <rFont val="Noto Sans CJK SC"/>
        <family val="2"/>
      </rPr>
      <t xml:space="preserve">月額制</t>
    </r>
    <r>
      <rPr>
        <sz val="10"/>
        <color rgb="FF111C29"/>
        <rFont val="游ゴシック"/>
        <family val="0"/>
        <charset val="1"/>
      </rPr>
      <t xml:space="preserve">A</t>
    </r>
    <r>
      <rPr>
        <sz val="10"/>
        <color rgb="FF111C29"/>
        <rFont val="Noto Sans CJK SC"/>
        <family val="2"/>
      </rPr>
      <t xml:space="preserve">社 </t>
    </r>
    <r>
      <rPr>
        <sz val="10"/>
        <color rgb="FF111C29"/>
        <rFont val="游ゴシック"/>
        <family val="0"/>
        <charset val="1"/>
      </rPr>
      <t xml:space="preserve">7</t>
    </r>
    <r>
      <rPr>
        <sz val="10"/>
        <color rgb="FF111C29"/>
        <rFont val="Noto Sans CJK SC"/>
        <family val="2"/>
      </rPr>
      <t xml:space="preserve">〜</t>
    </r>
    <r>
      <rPr>
        <sz val="10"/>
        <color rgb="FF111C29"/>
        <rFont val="游ゴシック"/>
        <family val="0"/>
        <charset val="1"/>
      </rPr>
      <t xml:space="preserve">12</t>
    </r>
    <r>
      <rPr>
        <sz val="10"/>
        <color rgb="FF111C29"/>
        <rFont val="Noto Sans CJK SC"/>
        <family val="2"/>
      </rPr>
      <t xml:space="preserve">ページ</t>
    </r>
  </si>
  <si>
    <r>
      <rPr>
        <sz val="9"/>
        <color rgb="FF5A6B7B"/>
        <rFont val="Noto Sans CJK SC"/>
        <family val="2"/>
      </rPr>
      <t xml:space="preserve">各社が公開している料金ページ（</t>
    </r>
    <r>
      <rPr>
        <sz val="9"/>
        <color rgb="FF5A6B7B"/>
        <rFont val="游ゴシック"/>
        <family val="0"/>
        <charset val="1"/>
      </rPr>
      <t xml:space="preserve">2026</t>
    </r>
    <r>
      <rPr>
        <sz val="9"/>
        <color rgb="FF5A6B7B"/>
        <rFont val="Noto Sans CJK SC"/>
        <family val="2"/>
      </rPr>
      <t xml:space="preserve">年</t>
    </r>
    <r>
      <rPr>
        <sz val="9"/>
        <color rgb="FF5A6B7B"/>
        <rFont val="游ゴシック"/>
        <family val="0"/>
        <charset val="1"/>
      </rPr>
      <t xml:space="preserve">9</t>
    </r>
    <r>
      <rPr>
        <sz val="9"/>
        <color rgb="FF5A6B7B"/>
        <rFont val="Noto Sans CJK SC"/>
        <family val="2"/>
      </rPr>
      <t xml:space="preserve">月時点）。金額は税別。月額制は最低契約</t>
    </r>
    <r>
      <rPr>
        <sz val="9"/>
        <color rgb="FF5A6B7B"/>
        <rFont val="游ゴシック"/>
        <family val="0"/>
        <charset val="1"/>
      </rPr>
      <t xml:space="preserve">6</t>
    </r>
    <r>
      <rPr>
        <sz val="9"/>
        <color rgb="FF5A6B7B"/>
        <rFont val="Noto Sans CJK SC"/>
        <family val="2"/>
      </rPr>
      <t xml:space="preserve">か月で、</t>
    </r>
    <r>
      <rPr>
        <sz val="9"/>
        <color rgb="FF5A6B7B"/>
        <rFont val="游ゴシック"/>
        <family val="0"/>
        <charset val="1"/>
      </rPr>
      <t xml:space="preserve">36</t>
    </r>
    <r>
      <rPr>
        <sz val="9"/>
        <color rgb="FF5A6B7B"/>
        <rFont val="Noto Sans CJK SC"/>
        <family val="2"/>
      </rPr>
      <t xml:space="preserve">か月未満で解約するとサイトは非公開になると明記されている。当方は買い切りなので、運用を途中でやめても減るのは運用費だけで、サイトは残る。</t>
    </r>
  </si>
  <si>
    <r>
      <rPr>
        <sz val="9"/>
        <color rgb="FF5A6B7B"/>
        <rFont val="Noto Sans CJK SC"/>
        <family val="2"/>
      </rPr>
      <t xml:space="preserve">差の中身：出張撮影（単品</t>
    </r>
    <r>
      <rPr>
        <sz val="9"/>
        <color rgb="FF5A6B7B"/>
        <rFont val="游ゴシック"/>
        <family val="0"/>
        <charset val="1"/>
      </rPr>
      <t xml:space="preserve">55,000</t>
    </r>
    <r>
      <rPr>
        <sz val="9"/>
        <color rgb="FF5A6B7B"/>
        <rFont val="Noto Sans CJK SC"/>
        <family val="2"/>
      </rPr>
      <t xml:space="preserve">円）／取材して書く原稿／修正の回数制限なし／</t>
    </r>
    <r>
      <rPr>
        <sz val="9"/>
        <color rgb="FF5A6B7B"/>
        <rFont val="游ゴシック"/>
        <family val="0"/>
        <charset val="1"/>
      </rPr>
      <t xml:space="preserve">Google</t>
    </r>
    <r>
      <rPr>
        <sz val="9"/>
        <color rgb="FF5A6B7B"/>
        <rFont val="Noto Sans CJK SC"/>
        <family val="2"/>
      </rPr>
      <t xml:space="preserve">マップの運用。月額制の制作はお客様がフォームに素材を入力するところから始まる。写真も文章も手元にあって更新もあまりしない方には、月額制のほうが向いている。</t>
    </r>
  </si>
  <si>
    <t xml:space="preserve">買い切りは月額制の何か月分か</t>
  </si>
  <si>
    <r>
      <rPr>
        <sz val="9.5"/>
        <color rgb="FF5A6B7B"/>
        <rFont val="游ゴシック"/>
        <family val="0"/>
        <charset val="1"/>
      </rPr>
      <t xml:space="preserve">1</t>
    </r>
    <r>
      <rPr>
        <sz val="9.5"/>
        <color rgb="FF5A6B7B"/>
        <rFont val="Noto Sans CJK SC"/>
        <family val="2"/>
      </rPr>
      <t xml:space="preserve">ページの場合。</t>
    </r>
  </si>
  <si>
    <r>
      <rPr>
        <b val="true"/>
        <sz val="10"/>
        <color rgb="FF111C29"/>
        <rFont val="Noto Sans CJK SC"/>
        <family val="2"/>
      </rPr>
      <t xml:space="preserve">シングルの価格 </t>
    </r>
    <r>
      <rPr>
        <b val="true"/>
        <sz val="10"/>
        <color rgb="FF111C29"/>
        <rFont val="游ゴシック"/>
        <family val="0"/>
        <charset val="1"/>
      </rPr>
      <t xml:space="preserve">÷ </t>
    </r>
    <r>
      <rPr>
        <b val="true"/>
        <sz val="10"/>
        <color rgb="FF111C29"/>
        <rFont val="Noto Sans CJK SC"/>
        <family val="2"/>
      </rPr>
      <t xml:space="preserve">月額制の月額</t>
    </r>
  </si>
  <si>
    <t xml:space="preserve">この月数を超えて使うなら、買い切りのほうが安い</t>
  </si>
  <si>
    <r>
      <rPr>
        <b val="true"/>
        <sz val="15"/>
        <color rgb="FF1F3049"/>
        <rFont val="Noto Sans CJK SC"/>
        <family val="2"/>
      </rPr>
      <t xml:space="preserve">小規模事業者持続化補助金（一般型・通常枠）（第</t>
    </r>
    <r>
      <rPr>
        <b val="true"/>
        <sz val="15"/>
        <color rgb="FF1F3049"/>
        <rFont val="游ゴシック"/>
        <family val="0"/>
        <charset val="1"/>
      </rPr>
      <t xml:space="preserve">20</t>
    </r>
    <r>
      <rPr>
        <b val="true"/>
        <sz val="15"/>
        <color rgb="FF1F3049"/>
        <rFont val="Noto Sans CJK SC"/>
        <family val="2"/>
      </rPr>
      <t xml:space="preserve">回）</t>
    </r>
  </si>
  <si>
    <r>
      <rPr>
        <sz val="9.5"/>
        <color rgb="FF5A6B7B"/>
        <rFont val="Noto Sans CJK SC"/>
        <family val="2"/>
      </rPr>
      <t xml:space="preserve">補助率</t>
    </r>
    <r>
      <rPr>
        <sz val="9.5"/>
        <color rgb="FF5A6B7B"/>
        <rFont val="游ゴシック"/>
        <family val="0"/>
        <charset val="1"/>
      </rPr>
      <t xml:space="preserve">3</t>
    </r>
    <r>
      <rPr>
        <sz val="9.5"/>
        <color rgb="FF5A6B7B"/>
        <rFont val="Noto Sans CJK SC"/>
        <family val="2"/>
      </rPr>
      <t xml:space="preserve">分の</t>
    </r>
    <r>
      <rPr>
        <sz val="9.5"/>
        <color rgb="FF5A6B7B"/>
        <rFont val="游ゴシック"/>
        <family val="0"/>
        <charset val="1"/>
      </rPr>
      <t xml:space="preserve">2</t>
    </r>
    <r>
      <rPr>
        <sz val="9.5"/>
        <color rgb="FF5A6B7B"/>
        <rFont val="Noto Sans CJK SC"/>
        <family val="2"/>
      </rPr>
      <t xml:space="preserve">、上限</t>
    </r>
    <r>
      <rPr>
        <sz val="9.5"/>
        <color rgb="FF5A6B7B"/>
        <rFont val="游ゴシック"/>
        <family val="0"/>
        <charset val="1"/>
      </rPr>
      <t xml:space="preserve">500,000</t>
    </r>
    <r>
      <rPr>
        <sz val="9.5"/>
        <color rgb="FF5A6B7B"/>
        <rFont val="Noto Sans CJK SC"/>
        <family val="2"/>
      </rPr>
      <t xml:space="preserve">円。ホームページに使える分は補助金額で</t>
    </r>
    <r>
      <rPr>
        <sz val="9.5"/>
        <color rgb="FF5A6B7B"/>
        <rFont val="游ゴシック"/>
        <family val="0"/>
        <charset val="1"/>
      </rPr>
      <t xml:space="preserve">300,000</t>
    </r>
    <r>
      <rPr>
        <sz val="9.5"/>
        <color rgb="FF5A6B7B"/>
        <rFont val="Noto Sans CJK SC"/>
        <family val="2"/>
      </rPr>
      <t xml:space="preserve">円まで。</t>
    </r>
  </si>
  <si>
    <t xml:space="preserve">科目</t>
  </si>
  <si>
    <t xml:space="preserve">ウェブサイト関連費</t>
  </si>
  <si>
    <r>
      <rPr>
        <sz val="9.5"/>
        <color rgb="FF111C29"/>
        <rFont val="Noto Sans CJK SC"/>
        <family val="2"/>
      </rPr>
      <t xml:space="preserve">スタンダード </t>
    </r>
    <r>
      <rPr>
        <sz val="9.5"/>
        <color rgb="FF111C29"/>
        <rFont val="游ゴシック"/>
        <family val="0"/>
        <charset val="1"/>
      </rPr>
      <t xml:space="preserve">9</t>
    </r>
    <r>
      <rPr>
        <sz val="9.5"/>
        <color rgb="FF111C29"/>
        <rFont val="Noto Sans CJK SC"/>
        <family val="2"/>
      </rPr>
      <t xml:space="preserve">ページ（撮影・原稿込み）</t>
    </r>
  </si>
  <si>
    <t xml:space="preserve">広報費</t>
  </si>
  <si>
    <r>
      <rPr>
        <sz val="9.5"/>
        <color rgb="FF111C29"/>
        <rFont val="Noto Sans CJK SC"/>
        <family val="2"/>
      </rPr>
      <t xml:space="preserve">ショップカード・チラシ制作＋印刷</t>
    </r>
    <r>
      <rPr>
        <sz val="9.5"/>
        <color rgb="FF111C29"/>
        <rFont val="游ゴシック"/>
        <family val="0"/>
        <charset val="1"/>
      </rPr>
      <t xml:space="preserve">1,000</t>
    </r>
    <r>
      <rPr>
        <sz val="9.5"/>
        <color rgb="FF111C29"/>
        <rFont val="Noto Sans CJK SC"/>
        <family val="2"/>
      </rPr>
      <t xml:space="preserve">部</t>
    </r>
  </si>
  <si>
    <t xml:space="preserve">店頭看板／のぼり デザイン＋制作</t>
  </si>
  <si>
    <r>
      <rPr>
        <sz val="9.5"/>
        <color rgb="FF111C29"/>
        <rFont val="Noto Sans CJK SC"/>
        <family val="2"/>
      </rPr>
      <t xml:space="preserve">追加撮影（商品・スタッフ）</t>
    </r>
    <r>
      <rPr>
        <sz val="9.5"/>
        <color rgb="FF111C29"/>
        <rFont val="游ゴシック"/>
        <family val="0"/>
        <charset val="1"/>
      </rPr>
      <t xml:space="preserve">1</t>
    </r>
    <r>
      <rPr>
        <sz val="9.5"/>
        <color rgb="FF111C29"/>
        <rFont val="Noto Sans CJK SC"/>
        <family val="2"/>
      </rPr>
      <t xml:space="preserve">日</t>
    </r>
  </si>
  <si>
    <t xml:space="preserve">メニュー表・料金表のデザイン＋印刷</t>
  </si>
  <si>
    <t xml:space="preserve">合計</t>
  </si>
  <si>
    <t xml:space="preserve">補助額と自己負担の計算</t>
  </si>
  <si>
    <t xml:space="preserve">端数は切り捨て。ウェブ関連費には補助金額の上限がある。</t>
  </si>
  <si>
    <t xml:space="preserve">意味</t>
  </si>
  <si>
    <t xml:space="preserve">経費額。ここから補助率をかける</t>
  </si>
  <si>
    <t xml:space="preserve">チラシ・看板・撮影・メニュー表</t>
  </si>
  <si>
    <t xml:space="preserve">ウェブの補助額</t>
  </si>
  <si>
    <r>
      <rPr>
        <sz val="9"/>
        <color rgb="FF5A6B7B"/>
        <rFont val="Noto Sans CJK SC"/>
        <family val="2"/>
      </rPr>
      <t xml:space="preserve">補助率をかけたあと、</t>
    </r>
    <r>
      <rPr>
        <sz val="9"/>
        <color rgb="FF5A6B7B"/>
        <rFont val="游ゴシック"/>
        <family val="0"/>
        <charset val="1"/>
      </rPr>
      <t xml:space="preserve">300,000</t>
    </r>
    <r>
      <rPr>
        <sz val="9"/>
        <color rgb="FF5A6B7B"/>
        <rFont val="Noto Sans CJK SC"/>
        <family val="2"/>
      </rPr>
      <t xml:space="preserve">円で頭打ち</t>
    </r>
  </si>
  <si>
    <t xml:space="preserve">広報費の補助額</t>
  </si>
  <si>
    <t xml:space="preserve">全体の上限から、ウェブの補助額を引いた残りが天井</t>
  </si>
  <si>
    <t xml:space="preserve">補助額の合計</t>
  </si>
  <si>
    <r>
      <rPr>
        <sz val="9"/>
        <color rgb="FF5A6B7B"/>
        <rFont val="Noto Sans CJK SC"/>
        <family val="2"/>
      </rPr>
      <t xml:space="preserve">全体の上限</t>
    </r>
    <r>
      <rPr>
        <sz val="9"/>
        <color rgb="FF5A6B7B"/>
        <rFont val="游ゴシック"/>
        <family val="0"/>
        <charset val="1"/>
      </rPr>
      <t xml:space="preserve">500,000</t>
    </r>
    <r>
      <rPr>
        <sz val="9"/>
        <color rgb="FF5A6B7B"/>
        <rFont val="Noto Sans CJK SC"/>
        <family val="2"/>
      </rPr>
      <t xml:space="preserve">円</t>
    </r>
  </si>
  <si>
    <t xml:space="preserve">自己負担（実質）</t>
  </si>
  <si>
    <t xml:space="preserve">ここがお客様のご負担。ただし全額を立て替えたあとに入金される</t>
  </si>
  <si>
    <t xml:space="preserve">先に伝えておくこと</t>
  </si>
  <si>
    <t xml:space="preserve">ここを黙っていると、あとで必ず揉める。</t>
  </si>
  <si>
    <t xml:space="preserve">採択率</t>
  </si>
  <si>
    <r>
      <rPr>
        <sz val="9.5"/>
        <color rgb="FF111C29"/>
        <rFont val="游ゴシック"/>
        <family val="0"/>
        <charset val="1"/>
      </rPr>
      <t xml:space="preserve">47.2%</t>
    </r>
    <r>
      <rPr>
        <sz val="9.5"/>
        <color rgb="FF111C29"/>
        <rFont val="Noto Sans CJK SC"/>
        <family val="2"/>
      </rPr>
      <t xml:space="preserve">（第</t>
    </r>
    <r>
      <rPr>
        <sz val="9.5"/>
        <color rgb="FF111C29"/>
        <rFont val="游ゴシック"/>
        <family val="0"/>
        <charset val="1"/>
      </rPr>
      <t xml:space="preserve">19</t>
    </r>
    <r>
      <rPr>
        <sz val="9.5"/>
        <color rgb="FF111C29"/>
        <rFont val="Noto Sans CJK SC"/>
        <family val="2"/>
      </rPr>
      <t xml:space="preserve">回は</t>
    </r>
    <r>
      <rPr>
        <sz val="9.5"/>
        <color rgb="FF111C29"/>
        <rFont val="游ゴシック"/>
        <family val="0"/>
        <charset val="1"/>
      </rPr>
      <t xml:space="preserve">16,576</t>
    </r>
    <r>
      <rPr>
        <sz val="9.5"/>
        <color rgb="FF111C29"/>
        <rFont val="Noto Sans CJK SC"/>
        <family val="2"/>
      </rPr>
      <t xml:space="preserve">件の申請に対し</t>
    </r>
    <r>
      <rPr>
        <sz val="9.5"/>
        <color rgb="FF111C29"/>
        <rFont val="游ゴシック"/>
        <family val="0"/>
        <charset val="1"/>
      </rPr>
      <t xml:space="preserve">7,819</t>
    </r>
    <r>
      <rPr>
        <sz val="9.5"/>
        <color rgb="FF111C29"/>
        <rFont val="Noto Sans CJK SC"/>
        <family val="2"/>
      </rPr>
      <t xml:space="preserve">件が採択）。「必ず通ります」「実質無料です」とは言わない。通らなかった場合の扱いは契約前に書面で決める（ベーシックに縮小するか、白紙に戻すか）</t>
    </r>
  </si>
  <si>
    <t xml:space="preserve">入金の時期</t>
  </si>
  <si>
    <t xml:space="preserve">精算払い。お客様がいったん全額を立て替えて、実績報告のあとに入金される</t>
  </si>
  <si>
    <t xml:space="preserve">申請の代行</t>
  </si>
  <si>
    <r>
      <rPr>
        <sz val="9.5"/>
        <color rgb="FF111C29"/>
        <rFont val="Noto Sans CJK SC"/>
        <family val="2"/>
      </rPr>
      <t xml:space="preserve">できない。</t>
    </r>
    <r>
      <rPr>
        <sz val="9.5"/>
        <color rgb="FF111C29"/>
        <rFont val="游ゴシック"/>
        <family val="0"/>
        <charset val="1"/>
      </rPr>
      <t xml:space="preserve">2026</t>
    </r>
    <r>
      <rPr>
        <sz val="9.5"/>
        <color rgb="FF111C29"/>
        <rFont val="Noto Sans CJK SC"/>
        <family val="2"/>
      </rPr>
      <t xml:space="preserve">年</t>
    </r>
    <r>
      <rPr>
        <sz val="9.5"/>
        <color rgb="FF111C29"/>
        <rFont val="游ゴシック"/>
        <family val="0"/>
        <charset val="1"/>
      </rPr>
      <t xml:space="preserve">1</t>
    </r>
    <r>
      <rPr>
        <sz val="9.5"/>
        <color rgb="FF111C29"/>
        <rFont val="Noto Sans CJK SC"/>
        <family val="2"/>
      </rPr>
      <t xml:space="preserve">月の行政書士法改正で、名目を問わず報酬を得て申請書類を作成することが明確に違反になった。制作費に申請代行を含めることもできない。計画づくりは商工会・商工会議所へ（無料。様式</t>
    </r>
    <r>
      <rPr>
        <sz val="9.5"/>
        <color rgb="FF111C29"/>
        <rFont val="游ゴシック"/>
        <family val="0"/>
        <charset val="1"/>
      </rPr>
      <t xml:space="preserve">4</t>
    </r>
    <r>
      <rPr>
        <sz val="9.5"/>
        <color rgb="FF111C29"/>
        <rFont val="Noto Sans CJK SC"/>
        <family val="2"/>
      </rPr>
      <t xml:space="preserve">の発行窓口でもある）</t>
    </r>
  </si>
  <si>
    <t xml:space="preserve">当方が出すもの</t>
  </si>
  <si>
    <t xml:space="preserve">見積書と、効果の根拠になる資料。それをお客様が自分の言葉で申請書に書く</t>
  </si>
  <si>
    <t xml:space="preserve">着手の時期</t>
  </si>
  <si>
    <t xml:space="preserve">交付決定の前に着手しない。契約書の日付も決定日より後にする。ここがいちばん大事</t>
  </si>
  <si>
    <t xml:space="preserve">相見積り</t>
  </si>
  <si>
    <r>
      <rPr>
        <sz val="9.5"/>
        <color rgb="FF111C29"/>
        <rFont val="游ゴシック"/>
        <family val="0"/>
        <charset val="1"/>
      </rPr>
      <t xml:space="preserve">1</t>
    </r>
    <r>
      <rPr>
        <sz val="9.5"/>
        <color rgb="FF111C29"/>
        <rFont val="Noto Sans CJK SC"/>
        <family val="2"/>
      </rPr>
      <t xml:space="preserve">件</t>
    </r>
    <r>
      <rPr>
        <sz val="9.5"/>
        <color rgb="FF111C29"/>
        <rFont val="游ゴシック"/>
        <family val="0"/>
        <charset val="1"/>
      </rPr>
      <t xml:space="preserve">50</t>
    </r>
    <r>
      <rPr>
        <sz val="9.5"/>
        <color rgb="FF111C29"/>
        <rFont val="Noto Sans CJK SC"/>
        <family val="2"/>
      </rPr>
      <t xml:space="preserve">万円（税込）を超える発注には</t>
    </r>
    <r>
      <rPr>
        <sz val="9.5"/>
        <color rgb="FF111C29"/>
        <rFont val="游ゴシック"/>
        <family val="0"/>
        <charset val="1"/>
      </rPr>
      <t xml:space="preserve">2</t>
    </r>
    <r>
      <rPr>
        <sz val="9.5"/>
        <color rgb="FF111C29"/>
        <rFont val="Noto Sans CJK SC"/>
        <family val="2"/>
      </rPr>
      <t xml:space="preserve">者以上の見積りが必要。最初に伝える</t>
    </r>
  </si>
  <si>
    <t xml:space="preserve">申請の締切</t>
  </si>
  <si>
    <r>
      <rPr>
        <sz val="9.5"/>
        <color rgb="FF111C29"/>
        <rFont val="游ゴシック"/>
        <family val="0"/>
        <charset val="1"/>
      </rPr>
      <t xml:space="preserve">2026</t>
    </r>
    <r>
      <rPr>
        <sz val="9.5"/>
        <color rgb="FF111C29"/>
        <rFont val="Noto Sans CJK SC"/>
        <family val="2"/>
      </rPr>
      <t xml:space="preserve">年</t>
    </r>
    <r>
      <rPr>
        <sz val="9.5"/>
        <color rgb="FF111C29"/>
        <rFont val="游ゴシック"/>
        <family val="0"/>
        <charset val="1"/>
      </rPr>
      <t xml:space="preserve">12</t>
    </r>
    <r>
      <rPr>
        <sz val="9.5"/>
        <color rgb="FF111C29"/>
        <rFont val="Noto Sans CJK SC"/>
        <family val="2"/>
      </rPr>
      <t xml:space="preserve">月</t>
    </r>
    <r>
      <rPr>
        <sz val="9.5"/>
        <color rgb="FF111C29"/>
        <rFont val="游ゴシック"/>
        <family val="0"/>
        <charset val="1"/>
      </rPr>
      <t xml:space="preserve">15</t>
    </r>
    <r>
      <rPr>
        <sz val="9.5"/>
        <color rgb="FF111C29"/>
        <rFont val="Noto Sans CJK SC"/>
        <family val="2"/>
      </rPr>
      <t xml:space="preserve">日（火）</t>
    </r>
    <r>
      <rPr>
        <sz val="9.5"/>
        <color rgb="FF111C29"/>
        <rFont val="游ゴシック"/>
        <family val="0"/>
        <charset val="1"/>
      </rPr>
      <t xml:space="preserve">17:00</t>
    </r>
  </si>
  <si>
    <r>
      <rPr>
        <b val="true"/>
        <sz val="10"/>
        <color rgb="FF111C29"/>
        <rFont val="Noto Sans CJK SC"/>
        <family val="2"/>
      </rPr>
      <t xml:space="preserve">様式</t>
    </r>
    <r>
      <rPr>
        <b val="true"/>
        <sz val="10"/>
        <color rgb="FF111C29"/>
        <rFont val="游ゴシック"/>
        <family val="0"/>
        <charset val="1"/>
      </rPr>
      <t xml:space="preserve">4</t>
    </r>
    <r>
      <rPr>
        <b val="true"/>
        <sz val="10"/>
        <color rgb="FF111C29"/>
        <rFont val="Noto Sans CJK SC"/>
        <family val="2"/>
      </rPr>
      <t xml:space="preserve">（商工会）</t>
    </r>
  </si>
  <si>
    <r>
      <rPr>
        <sz val="9.5"/>
        <color rgb="FF111C29"/>
        <rFont val="游ゴシック"/>
        <family val="0"/>
        <charset val="1"/>
      </rPr>
      <t xml:space="preserve">2026</t>
    </r>
    <r>
      <rPr>
        <sz val="9.5"/>
        <color rgb="FF111C29"/>
        <rFont val="Noto Sans CJK SC"/>
        <family val="2"/>
      </rPr>
      <t xml:space="preserve">年</t>
    </r>
    <r>
      <rPr>
        <sz val="9.5"/>
        <color rgb="FF111C29"/>
        <rFont val="游ゴシック"/>
        <family val="0"/>
        <charset val="1"/>
      </rPr>
      <t xml:space="preserve">12</t>
    </r>
    <r>
      <rPr>
        <sz val="9.5"/>
        <color rgb="FF111C29"/>
        <rFont val="Noto Sans CJK SC"/>
        <family val="2"/>
      </rPr>
      <t xml:space="preserve">月</t>
    </r>
    <r>
      <rPr>
        <sz val="9.5"/>
        <color rgb="FF111C29"/>
        <rFont val="游ゴシック"/>
        <family val="0"/>
        <charset val="1"/>
      </rPr>
      <t xml:space="preserve">4</t>
    </r>
    <r>
      <rPr>
        <sz val="9.5"/>
        <color rgb="FF111C29"/>
        <rFont val="Noto Sans CJK SC"/>
        <family val="2"/>
      </rPr>
      <t xml:space="preserve">日（金）まで。年末は混むので</t>
    </r>
    <r>
      <rPr>
        <sz val="9.5"/>
        <color rgb="FF111C29"/>
        <rFont val="游ゴシック"/>
        <family val="0"/>
        <charset val="1"/>
      </rPr>
      <t xml:space="preserve">11</t>
    </r>
    <r>
      <rPr>
        <sz val="9.5"/>
        <color rgb="FF111C29"/>
        <rFont val="Noto Sans CJK SC"/>
        <family val="2"/>
      </rPr>
      <t xml:space="preserve">月上旬までが安全</t>
    </r>
  </si>
  <si>
    <t xml:space="preserve">なぜ単独で申請できないか</t>
  </si>
  <si>
    <t xml:space="preserve">この補助金はホームページ関連費だけでは申請できない。必ず他の経費と一緒に出す。だから同じ写真・同じ文章でチラシ・看板・メニュー表までまとめて作る（撮影も原稿も一度で済むので、別々に頼むより安い）</t>
  </si>
  <si>
    <r>
      <rPr>
        <sz val="9"/>
        <color rgb="FF5A6B7B"/>
        <rFont val="Noto Sans CJK SC"/>
        <family val="2"/>
      </rPr>
      <t xml:space="preserve">市町村ごとの補助金もある。ただし「ホームページ補助金」という名前ではなく、「販路開拓」「産業振興」「</t>
    </r>
    <r>
      <rPr>
        <sz val="9"/>
        <color rgb="FF5A6B7B"/>
        <rFont val="游ゴシック"/>
        <family val="0"/>
        <charset val="1"/>
      </rPr>
      <t xml:space="preserve">DX</t>
    </r>
    <r>
      <rPr>
        <sz val="9"/>
        <color rgb="FF5A6B7B"/>
        <rFont val="Noto Sans CJK SC"/>
        <family val="2"/>
      </rPr>
      <t xml:space="preserve">推進」の枠のなかの</t>
    </r>
    <r>
      <rPr>
        <sz val="9"/>
        <color rgb="FF5A6B7B"/>
        <rFont val="游ゴシック"/>
        <family val="0"/>
        <charset val="1"/>
      </rPr>
      <t xml:space="preserve">1</t>
    </r>
    <r>
      <rPr>
        <sz val="9"/>
        <color rgb="FF5A6B7B"/>
        <rFont val="Noto Sans CJK SC"/>
        <family val="2"/>
      </rPr>
      <t xml:space="preserve">メニューになっていることが多い。予算に達すると早期終了する（ある県では</t>
    </r>
    <r>
      <rPr>
        <sz val="9"/>
        <color rgb="FF5A6B7B"/>
        <rFont val="游ゴシック"/>
        <family val="0"/>
        <charset val="1"/>
      </rPr>
      <t xml:space="preserve">9</t>
    </r>
    <r>
      <rPr>
        <sz val="9"/>
        <color rgb="FF5A6B7B"/>
        <rFont val="Noto Sans CJK SC"/>
        <family val="2"/>
      </rPr>
      <t xml:space="preserve">月</t>
    </r>
    <r>
      <rPr>
        <sz val="9"/>
        <color rgb="FF5A6B7B"/>
        <rFont val="游ゴシック"/>
        <family val="0"/>
        <charset val="1"/>
      </rPr>
      <t xml:space="preserve">30</t>
    </r>
    <r>
      <rPr>
        <sz val="9"/>
        <color rgb="FF5A6B7B"/>
        <rFont val="Noto Sans CJK SC"/>
        <family val="2"/>
      </rPr>
      <t xml:space="preserve">日締切の制度が</t>
    </r>
    <r>
      <rPr>
        <sz val="9"/>
        <color rgb="FF5A6B7B"/>
        <rFont val="游ゴシック"/>
        <family val="0"/>
        <charset val="1"/>
      </rPr>
      <t xml:space="preserve">8</t>
    </r>
    <r>
      <rPr>
        <sz val="9"/>
        <color rgb="FF5A6B7B"/>
        <rFont val="Noto Sans CJK SC"/>
        <family val="2"/>
      </rPr>
      <t xml:space="preserve">月</t>
    </r>
    <r>
      <rPr>
        <sz val="9"/>
        <color rgb="FF5A6B7B"/>
        <rFont val="游ゴシック"/>
        <family val="0"/>
        <charset val="1"/>
      </rPr>
      <t xml:space="preserve">28</t>
    </r>
    <r>
      <rPr>
        <sz val="9"/>
        <color rgb="FF5A6B7B"/>
        <rFont val="Noto Sans CJK SC"/>
        <family val="2"/>
      </rPr>
      <t xml:space="preserve">日に終了した）。毎週チェックする。</t>
    </r>
  </si>
  <si>
    <r>
      <rPr>
        <b val="true"/>
        <sz val="15"/>
        <color rgb="FF1F3049"/>
        <rFont val="Noto Sans CJK SC"/>
        <family val="2"/>
      </rPr>
      <t xml:space="preserve">食べログの掲載料と、</t>
    </r>
    <r>
      <rPr>
        <b val="true"/>
        <sz val="15"/>
        <color rgb="FF1F3049"/>
        <rFont val="游ゴシック"/>
        <family val="0"/>
        <charset val="1"/>
      </rPr>
      <t xml:space="preserve">1</t>
    </r>
    <r>
      <rPr>
        <b val="true"/>
        <sz val="15"/>
        <color rgb="FF1F3049"/>
        <rFont val="Noto Sans CJK SC"/>
        <family val="2"/>
      </rPr>
      <t xml:space="preserve">段下げた差額</t>
    </r>
  </si>
  <si>
    <t xml:space="preserve">新しい予算をつくる前に、いま出ている費用を見る。運用費は多くの場合ここから出せる。</t>
  </si>
  <si>
    <t xml:space="preserve">月額（税込）</t>
  </si>
  <si>
    <r>
      <rPr>
        <b val="true"/>
        <sz val="10"/>
        <color rgb="FFFFFFFF"/>
        <rFont val="游ゴシック"/>
        <family val="0"/>
        <charset val="1"/>
      </rPr>
      <t xml:space="preserve">1</t>
    </r>
    <r>
      <rPr>
        <b val="true"/>
        <sz val="10"/>
        <color rgb="FFFFFFFF"/>
        <rFont val="Noto Sans CJK SC"/>
        <family val="2"/>
      </rPr>
      <t xml:space="preserve">段下げた差額</t>
    </r>
  </si>
  <si>
    <t xml:space="preserve">運用スタンダードに足りるか</t>
  </si>
  <si>
    <r>
      <rPr>
        <sz val="9"/>
        <color rgb="FF5A6B7B"/>
        <rFont val="Noto Sans CJK SC"/>
        <family val="2"/>
      </rPr>
      <t xml:space="preserve">このほかに送客手数料が、ランチ</t>
    </r>
    <r>
      <rPr>
        <sz val="9"/>
        <color rgb="FF5A6B7B"/>
        <rFont val="游ゴシック"/>
        <family val="0"/>
        <charset val="1"/>
      </rPr>
      <t xml:space="preserve">110</t>
    </r>
    <r>
      <rPr>
        <sz val="9"/>
        <color rgb="FF5A6B7B"/>
        <rFont val="Noto Sans CJK SC"/>
        <family val="2"/>
      </rPr>
      <t xml:space="preserve">円・ディナー</t>
    </r>
    <r>
      <rPr>
        <sz val="9"/>
        <color rgb="FF5A6B7B"/>
        <rFont val="游ゴシック"/>
        <family val="0"/>
        <charset val="1"/>
      </rPr>
      <t xml:space="preserve">220</t>
    </r>
    <r>
      <rPr>
        <sz val="9"/>
        <color rgb="FF5A6B7B"/>
        <rFont val="Noto Sans CJK SC"/>
        <family val="2"/>
      </rPr>
      <t xml:space="preserve">円（お一人あたり・税込）かかる。</t>
    </r>
  </si>
  <si>
    <r>
      <rPr>
        <b val="true"/>
        <sz val="15"/>
        <color rgb="FF1F3049"/>
        <rFont val="Noto Sans CJK SC"/>
        <family val="2"/>
      </rPr>
      <t xml:space="preserve">いちばん効くのは「</t>
    </r>
    <r>
      <rPr>
        <b val="true"/>
        <sz val="15"/>
        <color rgb="FF1F3049"/>
        <rFont val="游ゴシック"/>
        <family val="0"/>
        <charset val="1"/>
      </rPr>
      <t xml:space="preserve">1</t>
    </r>
    <r>
      <rPr>
        <b val="true"/>
        <sz val="15"/>
        <color rgb="FF1F3049"/>
        <rFont val="Noto Sans CJK SC"/>
        <family val="2"/>
      </rPr>
      <t xml:space="preserve">段下げる」ではなく「無料プランに戻す」</t>
    </r>
  </si>
  <si>
    <r>
      <rPr>
        <sz val="9.5"/>
        <color rgb="FF5A6B7B"/>
        <rFont val="Noto Sans CJK SC"/>
        <family val="2"/>
      </rPr>
      <t xml:space="preserve">食べログのネット予約は導入費・固定費</t>
    </r>
    <r>
      <rPr>
        <sz val="9.5"/>
        <color rgb="FF5A6B7B"/>
        <rFont val="游ゴシック"/>
        <family val="0"/>
        <charset val="1"/>
      </rPr>
      <t xml:space="preserve">0</t>
    </r>
    <r>
      <rPr>
        <sz val="9.5"/>
        <color rgb="FF5A6B7B"/>
        <rFont val="Noto Sans CJK SC"/>
        <family val="2"/>
      </rPr>
      <t xml:space="preserve">円で、無料プランでも使えて、手数料の単価は有料プランと同じ（同社が公式に明記）。</t>
    </r>
  </si>
  <si>
    <t xml:space="preserve">結果</t>
  </si>
  <si>
    <t xml:space="preserve">運用スタンダードの月額</t>
  </si>
  <si>
    <t xml:space="preserve">この金額をどこから出すか、という話</t>
  </si>
  <si>
    <r>
      <rPr>
        <sz val="10"/>
        <color rgb="FF111C29"/>
        <rFont val="Noto Sans CJK SC"/>
        <family val="2"/>
      </rPr>
      <t xml:space="preserve">ディナー</t>
    </r>
    <r>
      <rPr>
        <sz val="10"/>
        <color rgb="FF111C29"/>
        <rFont val="游ゴシック"/>
        <family val="0"/>
        <charset val="1"/>
      </rPr>
      <t xml:space="preserve">1</t>
    </r>
    <r>
      <rPr>
        <sz val="10"/>
        <color rgb="FF111C29"/>
        <rFont val="Noto Sans CJK SC"/>
        <family val="2"/>
      </rPr>
      <t xml:space="preserve">人あたりの手数料</t>
    </r>
  </si>
  <si>
    <t xml:space="preserve">新規にも常連にも同じようにかかる</t>
  </si>
  <si>
    <t xml:space="preserve">何人分を自分のサイトに移せば出るか</t>
  </si>
  <si>
    <t xml:space="preserve">ディナーのご予約をこの人数だけ自社サイトに移せば、運用費が出る</t>
  </si>
  <si>
    <r>
      <rPr>
        <b val="true"/>
        <sz val="10"/>
        <color rgb="FF111C29"/>
        <rFont val="Noto Sans CJK SC"/>
        <family val="2"/>
      </rPr>
      <t xml:space="preserve">毎晩</t>
    </r>
    <r>
      <rPr>
        <b val="true"/>
        <sz val="10"/>
        <color rgb="FF111C29"/>
        <rFont val="游ゴシック"/>
        <family val="0"/>
        <charset val="1"/>
      </rPr>
      <t xml:space="preserve">4</t>
    </r>
    <r>
      <rPr>
        <b val="true"/>
        <sz val="10"/>
        <color rgb="FF111C29"/>
        <rFont val="Noto Sans CJK SC"/>
        <family val="2"/>
      </rPr>
      <t xml:space="preserve">名</t>
    </r>
    <r>
      <rPr>
        <b val="true"/>
        <sz val="10"/>
        <color rgb="FF111C29"/>
        <rFont val="游ゴシック"/>
        <family val="0"/>
        <charset val="1"/>
      </rPr>
      <t xml:space="preserve">×30</t>
    </r>
    <r>
      <rPr>
        <b val="true"/>
        <sz val="10"/>
        <color rgb="FF111C29"/>
        <rFont val="Noto Sans CJK SC"/>
        <family val="2"/>
      </rPr>
      <t xml:space="preserve">日＝月</t>
    </r>
    <r>
      <rPr>
        <b val="true"/>
        <sz val="10"/>
        <color rgb="FF111C29"/>
        <rFont val="游ゴシック"/>
        <family val="0"/>
        <charset val="1"/>
      </rPr>
      <t xml:space="preserve">120</t>
    </r>
    <r>
      <rPr>
        <b val="true"/>
        <sz val="10"/>
        <color rgb="FF111C29"/>
        <rFont val="Noto Sans CJK SC"/>
        <family val="2"/>
      </rPr>
      <t xml:space="preserve">人の店なら</t>
    </r>
  </si>
  <si>
    <t xml:space="preserve">送客手数料だけで、月にこれだけ払っていることになる</t>
  </si>
  <si>
    <t xml:space="preserve">進め方（いきなりやめない）</t>
  </si>
  <si>
    <t xml:space="preserve">段階</t>
  </si>
  <si>
    <t xml:space="preserve">やること</t>
  </si>
  <si>
    <t xml:space="preserve">なぜ</t>
  </si>
  <si>
    <t xml:space="preserve">1</t>
  </si>
  <si>
    <r>
      <rPr>
        <b val="true"/>
        <sz val="10"/>
        <color rgb="FF111C29"/>
        <rFont val="游ゴシック"/>
        <family val="0"/>
        <charset val="1"/>
      </rPr>
      <t xml:space="preserve">3</t>
    </r>
    <r>
      <rPr>
        <b val="true"/>
        <sz val="10"/>
        <color rgb="FF111C29"/>
        <rFont val="Noto Sans CJK SC"/>
        <family val="2"/>
      </rPr>
      <t xml:space="preserve">つの数字を聞く</t>
    </r>
  </si>
  <si>
    <t xml:space="preserve">掲載料はいくらか／手数料はいくら払っているか／そのサイト経由で月に何人の新規が来ているか</t>
  </si>
  <si>
    <t xml:space="preserve">2</t>
  </si>
  <si>
    <r>
      <rPr>
        <b val="true"/>
        <sz val="10"/>
        <color rgb="FF111C29"/>
        <rFont val="Noto Sans CJK SC"/>
        <family val="2"/>
      </rPr>
      <t xml:space="preserve">新規</t>
    </r>
    <r>
      <rPr>
        <b val="true"/>
        <sz val="10"/>
        <color rgb="FF111C29"/>
        <rFont val="游ゴシック"/>
        <family val="0"/>
        <charset val="1"/>
      </rPr>
      <t xml:space="preserve">1</t>
    </r>
    <r>
      <rPr>
        <b val="true"/>
        <sz val="10"/>
        <color rgb="FF111C29"/>
        <rFont val="Noto Sans CJK SC"/>
        <family val="2"/>
      </rPr>
      <t xml:space="preserve">人あたりの獲得コストを一緒に計算する</t>
    </r>
  </si>
  <si>
    <t xml:space="preserve">多くの店主がこの数字を見るのは初めて。ここだけでも意味がある</t>
  </si>
  <si>
    <t xml:space="preserve">3</t>
  </si>
  <si>
    <t xml:space="preserve">そのお客様の粗利と比べる</t>
  </si>
  <si>
    <r>
      <rPr>
        <sz val="9"/>
        <color rgb="FF5A6B7B"/>
        <rFont val="游ゴシック"/>
        <family val="0"/>
        <charset val="1"/>
      </rPr>
      <t xml:space="preserve">1</t>
    </r>
    <r>
      <rPr>
        <sz val="9"/>
        <color rgb="FF5A6B7B"/>
        <rFont val="Noto Sans CJK SC"/>
        <family val="2"/>
      </rPr>
      <t xml:space="preserve">人</t>
    </r>
    <r>
      <rPr>
        <sz val="9"/>
        <color rgb="FF5A6B7B"/>
        <rFont val="游ゴシック"/>
        <family val="0"/>
        <charset val="1"/>
      </rPr>
      <t xml:space="preserve">5,000</t>
    </r>
    <r>
      <rPr>
        <sz val="9"/>
        <color rgb="FF5A6B7B"/>
        <rFont val="Noto Sans CJK SC"/>
        <family val="2"/>
      </rPr>
      <t xml:space="preserve">円かけて獲得した客の粗利が</t>
    </r>
    <r>
      <rPr>
        <sz val="9"/>
        <color rgb="FF5A6B7B"/>
        <rFont val="游ゴシック"/>
        <family val="0"/>
        <charset val="1"/>
      </rPr>
      <t xml:space="preserve">3,000</t>
    </r>
    <r>
      <rPr>
        <sz val="9"/>
        <color rgb="FF5A6B7B"/>
        <rFont val="Noto Sans CJK SC"/>
        <family val="2"/>
      </rPr>
      <t xml:space="preserve">円なら、そのプランは合っていない</t>
    </r>
  </si>
  <si>
    <t xml:space="preserve">4</t>
  </si>
  <si>
    <r>
      <rPr>
        <b val="true"/>
        <sz val="10"/>
        <color rgb="FF111C29"/>
        <rFont val="游ゴシック"/>
        <family val="0"/>
        <charset val="1"/>
      </rPr>
      <t xml:space="preserve">3</t>
    </r>
    <r>
      <rPr>
        <b val="true"/>
        <sz val="10"/>
        <color rgb="FF111C29"/>
        <rFont val="Noto Sans CJK SC"/>
        <family val="2"/>
      </rPr>
      <t xml:space="preserve">〜</t>
    </r>
    <r>
      <rPr>
        <b val="true"/>
        <sz val="10"/>
        <color rgb="FF111C29"/>
        <rFont val="游ゴシック"/>
        <family val="0"/>
        <charset val="1"/>
      </rPr>
      <t xml:space="preserve">6</t>
    </r>
    <r>
      <rPr>
        <b val="true"/>
        <sz val="10"/>
        <color rgb="FF111C29"/>
        <rFont val="Noto Sans CJK SC"/>
        <family val="2"/>
      </rPr>
      <t xml:space="preserve">か月の併走計画を作る</t>
    </r>
  </si>
  <si>
    <t xml:space="preserve">いきなりやめない。マップと自社サイトの導線が育つまで両方使う</t>
  </si>
  <si>
    <t xml:space="preserve">5</t>
  </si>
  <si>
    <t xml:space="preserve">契約の更新月に合わせてプランを下げる</t>
  </si>
  <si>
    <r>
      <rPr>
        <sz val="9"/>
        <color rgb="FF5A6B7B"/>
        <rFont val="Noto Sans CJK SC"/>
        <family val="2"/>
      </rPr>
      <t xml:space="preserve">食べログは</t>
    </r>
    <r>
      <rPr>
        <sz val="9"/>
        <color rgb="FF5A6B7B"/>
        <rFont val="游ゴシック"/>
        <family val="0"/>
        <charset val="1"/>
      </rPr>
      <t xml:space="preserve">6</t>
    </r>
    <r>
      <rPr>
        <sz val="9"/>
        <color rgb="FF5A6B7B"/>
        <rFont val="Noto Sans CJK SC"/>
        <family val="2"/>
      </rPr>
      <t xml:space="preserve">か月または</t>
    </r>
    <r>
      <rPr>
        <sz val="9"/>
        <color rgb="FF5A6B7B"/>
        <rFont val="游ゴシック"/>
        <family val="0"/>
        <charset val="1"/>
      </rPr>
      <t xml:space="preserve">12</t>
    </r>
    <r>
      <rPr>
        <sz val="9"/>
        <color rgb="FF5A6B7B"/>
        <rFont val="Noto Sans CJK SC"/>
        <family val="2"/>
      </rPr>
      <t xml:space="preserve">か月ごとの自動更新。ホットペッパーグルメは途中でプランを下げられない場合がある。「いますぐ安くなります」とは言わない</t>
    </r>
  </si>
  <si>
    <r>
      <rPr>
        <sz val="9"/>
        <color rgb="FF5A6B7B"/>
        <rFont val="Noto Sans CJK SC"/>
        <family val="2"/>
      </rPr>
      <t xml:space="preserve">やめるべきでない店には「やめないでください」と言う。①既存客の連絡先が整理されておらず再来店の導線がない ②再来店率が業界平均（</t>
    </r>
    <r>
      <rPr>
        <sz val="9"/>
        <color rgb="FF5A6B7B"/>
        <rFont val="游ゴシック"/>
        <family val="0"/>
        <charset val="1"/>
      </rPr>
      <t xml:space="preserve">3</t>
    </r>
    <r>
      <rPr>
        <sz val="9"/>
        <color rgb="FF5A6B7B"/>
        <rFont val="Noto Sans CJK SC"/>
        <family val="2"/>
      </rPr>
      <t xml:space="preserve">割前後）を下回る ③開業して間もない ④予約件数が多い（プランを下げると手数料の単価が上がるサービスがある。あるサービスでは有料プランのディナー</t>
    </r>
    <r>
      <rPr>
        <sz val="9"/>
        <color rgb="FF5A6B7B"/>
        <rFont val="游ゴシック"/>
        <family val="0"/>
        <charset val="1"/>
      </rPr>
      <t xml:space="preserve">50</t>
    </r>
    <r>
      <rPr>
        <sz val="9"/>
        <color rgb="FF5A6B7B"/>
        <rFont val="Noto Sans CJK SC"/>
        <family val="2"/>
      </rPr>
      <t xml:space="preserve">円が、無料プランでは実質</t>
    </r>
    <r>
      <rPr>
        <sz val="9"/>
        <color rgb="FF5A6B7B"/>
        <rFont val="游ゴシック"/>
        <family val="0"/>
        <charset val="1"/>
      </rPr>
      <t xml:space="preserve">215</t>
    </r>
    <r>
      <rPr>
        <sz val="9"/>
        <color rgb="FF5A6B7B"/>
        <rFont val="Noto Sans CJK SC"/>
        <family val="2"/>
      </rPr>
      <t xml:space="preserve">円になる）。</t>
    </r>
  </si>
  <si>
    <r>
      <rPr>
        <sz val="9"/>
        <color rgb="FF5A6B7B"/>
        <rFont val="Noto Sans CJK SC"/>
        <family val="2"/>
      </rPr>
      <t xml:space="preserve">美容室：ホットペッパービューティーの掲載料は公開されていない（正規代理店自身が「リクルート社を含めどこのホームページにも記載されていない」と書いている）。推測で金額を言わず、直近の請求書を見せてもらう。無料プランは存在せず、予約売上の</t>
    </r>
    <r>
      <rPr>
        <sz val="9"/>
        <color rgb="FF5A6B7B"/>
        <rFont val="游ゴシック"/>
        <family val="0"/>
        <charset val="1"/>
      </rPr>
      <t xml:space="preserve">2%</t>
    </r>
    <r>
      <rPr>
        <sz val="9"/>
        <color rgb="FF5A6B7B"/>
        <rFont val="Noto Sans CJK SC"/>
        <family val="2"/>
      </rPr>
      <t xml:space="preserve">が手数料。広告：止めるのではなく入札単価を下げる（止めた実測例では予算</t>
    </r>
    <r>
      <rPr>
        <sz val="9"/>
        <color rgb="FF5A6B7B"/>
        <rFont val="游ゴシック"/>
        <family val="0"/>
        <charset val="1"/>
      </rPr>
      <t xml:space="preserve">3.45</t>
    </r>
    <r>
      <rPr>
        <sz val="9"/>
        <color rgb="FF5A6B7B"/>
        <rFont val="Noto Sans CJK SC"/>
        <family val="2"/>
      </rPr>
      <t xml:space="preserve">倍に対し売上</t>
    </r>
    <r>
      <rPr>
        <sz val="9"/>
        <color rgb="FF5A6B7B"/>
        <rFont val="游ゴシック"/>
        <family val="0"/>
        <charset val="1"/>
      </rPr>
      <t xml:space="preserve">1.07</t>
    </r>
    <r>
      <rPr>
        <sz val="9"/>
        <color rgb="FF5A6B7B"/>
        <rFont val="Noto Sans CJK SC"/>
        <family val="2"/>
      </rPr>
      <t xml:space="preserve">倍）。</t>
    </r>
  </si>
  <si>
    <r>
      <rPr>
        <b val="true"/>
        <sz val="15"/>
        <color rgb="FF1F3049"/>
        <rFont val="Noto Sans CJK SC"/>
        <family val="2"/>
      </rPr>
      <t xml:space="preserve">全業種に共通する</t>
    </r>
    <r>
      <rPr>
        <b val="true"/>
        <sz val="15"/>
        <color rgb="FF1F3049"/>
        <rFont val="游ゴシック"/>
        <family val="0"/>
        <charset val="1"/>
      </rPr>
      <t xml:space="preserve">20</t>
    </r>
    <r>
      <rPr>
        <b val="true"/>
        <sz val="15"/>
        <color rgb="FF1F3049"/>
        <rFont val="Noto Sans CJK SC"/>
        <family val="2"/>
      </rPr>
      <t xml:space="preserve">項目</t>
    </r>
  </si>
  <si>
    <r>
      <rPr>
        <sz val="9.5"/>
        <color rgb="FF5A6B7B"/>
        <rFont val="Noto Sans CJK SC"/>
        <family val="2"/>
      </rPr>
      <t xml:space="preserve">数字が出ているものだけを入れる。</t>
    </r>
    <r>
      <rPr>
        <sz val="9.5"/>
        <color rgb="FF5A6B7B"/>
        <rFont val="游ゴシック"/>
        <family val="0"/>
        <charset val="1"/>
      </rPr>
      <t xml:space="preserve">20</t>
    </r>
    <r>
      <rPr>
        <sz val="9.5"/>
        <color rgb="FF5A6B7B"/>
        <rFont val="Noto Sans CJK SC"/>
        <family val="2"/>
      </rPr>
      <t xml:space="preserve">項目すべてを自動でチェックし、</t>
    </r>
    <r>
      <rPr>
        <sz val="9.5"/>
        <color rgb="FF5A6B7B"/>
        <rFont val="游ゴシック"/>
        <family val="0"/>
        <charset val="1"/>
      </rPr>
      <t xml:space="preserve">1</t>
    </r>
    <r>
      <rPr>
        <sz val="9.5"/>
        <color rgb="FF5A6B7B"/>
        <rFont val="Noto Sans CJK SC"/>
        <family val="2"/>
      </rPr>
      <t xml:space="preserve">つでも落ちたら納品しない。</t>
    </r>
  </si>
  <si>
    <t xml:space="preserve">#</t>
  </si>
  <si>
    <t xml:space="preserve">区分</t>
  </si>
  <si>
    <t xml:space="preserve">根拠（なぜ入れるか）</t>
  </si>
  <si>
    <t xml:space="preserve">情報</t>
  </si>
  <si>
    <t xml:space="preserve">電話番号を全ページの上部に、文字で置きます</t>
  </si>
  <si>
    <r>
      <rPr>
        <sz val="9"/>
        <color rgb="FF111C29"/>
        <rFont val="Noto Sans CJK SC"/>
        <family val="2"/>
      </rPr>
      <t xml:space="preserve">画像にした電話番号は</t>
    </r>
    <r>
      <rPr>
        <sz val="9"/>
        <color rgb="FF111C29"/>
        <rFont val="游ゴシック"/>
        <family val="0"/>
        <charset val="1"/>
      </rPr>
      <t xml:space="preserve">Google</t>
    </r>
    <r>
      <rPr>
        <sz val="9"/>
        <color rgb="FF111C29"/>
        <rFont val="Noto Sans CJK SC"/>
        <family val="2"/>
      </rPr>
      <t xml:space="preserve">が読めず、スマホでタップしても発信できません。連絡先を決める段階で重視される要素の</t>
    </r>
    <r>
      <rPr>
        <sz val="9"/>
        <color rgb="FF111C29"/>
        <rFont val="游ゴシック"/>
        <family val="0"/>
        <charset val="1"/>
      </rPr>
      <t xml:space="preserve">1</t>
    </r>
    <r>
      <rPr>
        <sz val="9"/>
        <color rgb="FF111C29"/>
        <rFont val="Noto Sans CJK SC"/>
        <family val="2"/>
      </rPr>
      <t xml:space="preserve">位は「営業時間・住所・電話がはっきり書かれていること」（</t>
    </r>
    <r>
      <rPr>
        <sz val="9"/>
        <color rgb="FF111C29"/>
        <rFont val="游ゴシック"/>
        <family val="0"/>
        <charset val="1"/>
      </rPr>
      <t xml:space="preserve">32%</t>
    </r>
    <r>
      <rPr>
        <sz val="9"/>
        <color rgb="FF111C29"/>
        <rFont val="Noto Sans CJK SC"/>
        <family val="2"/>
      </rPr>
      <t xml:space="preserve">）です。</t>
    </r>
  </si>
  <si>
    <t xml:space="preserve">営業時間を、定休日・臨時休業・年末年始まで書きます</t>
  </si>
  <si>
    <r>
      <rPr>
        <sz val="9"/>
        <color rgb="FF111C29"/>
        <rFont val="Noto Sans CJK SC"/>
        <family val="2"/>
      </rPr>
      <t xml:space="preserve">同じく</t>
    </r>
    <r>
      <rPr>
        <sz val="9"/>
        <color rgb="FF111C29"/>
        <rFont val="游ゴシック"/>
        <family val="0"/>
        <charset val="1"/>
      </rPr>
      <t xml:space="preserve">1</t>
    </r>
    <r>
      <rPr>
        <sz val="9"/>
        <color rgb="FF111C29"/>
        <rFont val="Noto Sans CJK SC"/>
        <family val="2"/>
      </rPr>
      <t xml:space="preserve">位の要素です。文字で書くので検索にも反映されます。</t>
    </r>
  </si>
  <si>
    <t xml:space="preserve">住所・地図・アクセス・駐車場の有無を書きます</t>
  </si>
  <si>
    <r>
      <rPr>
        <sz val="9"/>
        <color rgb="FF111C29"/>
        <rFont val="Noto Sans CJK SC"/>
        <family val="2"/>
      </rPr>
      <t xml:space="preserve">お店を探す段階で最も見られている要素が「住所・近さ」（</t>
    </r>
    <r>
      <rPr>
        <sz val="9"/>
        <color rgb="FF111C29"/>
        <rFont val="游ゴシック"/>
        <family val="0"/>
        <charset val="1"/>
      </rPr>
      <t xml:space="preserve">44%</t>
    </r>
    <r>
      <rPr>
        <sz val="9"/>
        <color rgb="FF111C29"/>
        <rFont val="Noto Sans CJK SC"/>
        <family val="2"/>
      </rPr>
      <t xml:space="preserve">）。</t>
    </r>
    <r>
      <rPr>
        <sz val="9"/>
        <color rgb="FF111C29"/>
        <rFont val="游ゴシック"/>
        <family val="0"/>
        <charset val="1"/>
      </rPr>
      <t xml:space="preserve">Google</t>
    </r>
    <r>
      <rPr>
        <sz val="9"/>
        <color rgb="FF111C29"/>
        <rFont val="Noto Sans CJK SC"/>
        <family val="2"/>
      </rPr>
      <t xml:space="preserve">マップ経由の行動の</t>
    </r>
    <r>
      <rPr>
        <sz val="9"/>
        <color rgb="FF111C29"/>
        <rFont val="游ゴシック"/>
        <family val="0"/>
        <charset val="1"/>
      </rPr>
      <t xml:space="preserve">38%</t>
    </r>
    <r>
      <rPr>
        <sz val="9"/>
        <color rgb="FF111C29"/>
        <rFont val="Noto Sans CJK SC"/>
        <family val="2"/>
      </rPr>
      <t xml:space="preserve">が経路検索です。</t>
    </r>
  </si>
  <si>
    <t xml:space="preserve">料金を必ず何らかの形で出します</t>
  </si>
  <si>
    <r>
      <rPr>
        <sz val="9"/>
        <color rgb="FF111C29"/>
        <rFont val="Noto Sans CJK SC"/>
        <family val="2"/>
      </rPr>
      <t xml:space="preserve">連絡しなかった理由の</t>
    </r>
    <r>
      <rPr>
        <sz val="9"/>
        <color rgb="FF111C29"/>
        <rFont val="游ゴシック"/>
        <family val="0"/>
        <charset val="1"/>
      </rPr>
      <t xml:space="preserve">2</t>
    </r>
    <r>
      <rPr>
        <sz val="9"/>
        <color rgb="FF111C29"/>
        <rFont val="Noto Sans CJK SC"/>
        <family val="2"/>
      </rPr>
      <t xml:space="preserve">位が「料金が不明確」（</t>
    </r>
    <r>
      <rPr>
        <sz val="9"/>
        <color rgb="FF111C29"/>
        <rFont val="游ゴシック"/>
        <family val="0"/>
        <charset val="1"/>
      </rPr>
      <t xml:space="preserve">32%</t>
    </r>
    <r>
      <rPr>
        <sz val="9"/>
        <color rgb="FF111C29"/>
        <rFont val="Noto Sans CJK SC"/>
        <family val="2"/>
      </rPr>
      <t xml:space="preserve">）で、星の評価（</t>
    </r>
    <r>
      <rPr>
        <sz val="9"/>
        <color rgb="FF111C29"/>
        <rFont val="游ゴシック"/>
        <family val="0"/>
        <charset val="1"/>
      </rPr>
      <t xml:space="preserve">30%</t>
    </r>
    <r>
      <rPr>
        <sz val="9"/>
        <color rgb="FF111C29"/>
        <rFont val="Noto Sans CJK SC"/>
        <family val="2"/>
      </rPr>
      <t xml:space="preserve">）より上です。「お見積り」でも、算出の考え方と目安の幅は出します。ただし安く見せることはしません。</t>
    </r>
  </si>
  <si>
    <t xml:space="preserve">業種によって、電話とフォームのどちらを主役にするかを入れ替えます</t>
  </si>
  <si>
    <r>
      <rPr>
        <sz val="9"/>
        <color rgb="FF111C29"/>
        <rFont val="Noto Sans CJK SC"/>
        <family val="2"/>
      </rPr>
      <t xml:space="preserve">調査では士業は電話が</t>
    </r>
    <r>
      <rPr>
        <sz val="9"/>
        <color rgb="FF111C29"/>
        <rFont val="游ゴシック"/>
        <family val="0"/>
        <charset val="1"/>
      </rPr>
      <t xml:space="preserve">56%</t>
    </r>
    <r>
      <rPr>
        <sz val="9"/>
        <color rgb="FF111C29"/>
        <rFont val="Noto Sans CJK SC"/>
        <family val="2"/>
      </rPr>
      <t xml:space="preserve">・フォームが</t>
    </r>
    <r>
      <rPr>
        <sz val="9"/>
        <color rgb="FF111C29"/>
        <rFont val="游ゴシック"/>
        <family val="0"/>
        <charset val="1"/>
      </rPr>
      <t xml:space="preserve">44%</t>
    </r>
    <r>
      <rPr>
        <sz val="9"/>
        <color rgb="FF111C29"/>
        <rFont val="Noto Sans CJK SC"/>
        <family val="2"/>
      </rPr>
      <t xml:space="preserve">、美容室はフォームが</t>
    </r>
    <r>
      <rPr>
        <sz val="9"/>
        <color rgb="FF111C29"/>
        <rFont val="游ゴシック"/>
        <family val="0"/>
        <charset val="1"/>
      </rPr>
      <t xml:space="preserve">92%</t>
    </r>
    <r>
      <rPr>
        <sz val="9"/>
        <color rgb="FF111C29"/>
        <rFont val="Noto Sans CJK SC"/>
        <family val="2"/>
      </rPr>
      <t xml:space="preserve">・電話が</t>
    </r>
    <r>
      <rPr>
        <sz val="9"/>
        <color rgb="FF111C29"/>
        <rFont val="游ゴシック"/>
        <family val="0"/>
        <charset val="1"/>
      </rPr>
      <t xml:space="preserve">8%</t>
    </r>
    <r>
      <rPr>
        <sz val="9"/>
        <color rgb="FF111C29"/>
        <rFont val="Noto Sans CJK SC"/>
        <family val="2"/>
      </rPr>
      <t xml:space="preserve">と真逆でした。同じ作りを全業種に当てるのは合いません。</t>
    </r>
  </si>
  <si>
    <t xml:space="preserve">対応エリアを書きます（工務店・士業は市町村ごとに）</t>
  </si>
  <si>
    <r>
      <rPr>
        <sz val="9"/>
        <color rgb="FF111C29"/>
        <rFont val="Noto Sans CJK SC"/>
        <family val="2"/>
      </rPr>
      <t xml:space="preserve">「近さ」は</t>
    </r>
    <r>
      <rPr>
        <sz val="9"/>
        <color rgb="FF111C29"/>
        <rFont val="游ゴシック"/>
        <family val="0"/>
        <charset val="1"/>
      </rPr>
      <t xml:space="preserve">Google</t>
    </r>
    <r>
      <rPr>
        <sz val="9"/>
        <color rgb="FF111C29"/>
        <rFont val="Noto Sans CJK SC"/>
        <family val="2"/>
      </rPr>
      <t xml:space="preserve">が公表しているマップの順位の</t>
    </r>
    <r>
      <rPr>
        <sz val="9"/>
        <color rgb="FF111C29"/>
        <rFont val="游ゴシック"/>
        <family val="0"/>
        <charset val="1"/>
      </rPr>
      <t xml:space="preserve">3</t>
    </r>
    <r>
      <rPr>
        <sz val="9"/>
        <color rgb="FF111C29"/>
        <rFont val="Noto Sans CJK SC"/>
        <family val="2"/>
      </rPr>
      <t xml:space="preserve">要因のひとつです。</t>
    </r>
  </si>
  <si>
    <t xml:space="preserve">写真は明るく、実物を撮ります</t>
  </si>
  <si>
    <r>
      <rPr>
        <sz val="9"/>
        <color rgb="FF111C29"/>
        <rFont val="Noto Sans CJK SC"/>
        <family val="2"/>
      </rPr>
      <t xml:space="preserve">飲食店のサイトを見て来店をやめた理由の</t>
    </r>
    <r>
      <rPr>
        <sz val="9"/>
        <color rgb="FF111C29"/>
        <rFont val="游ゴシック"/>
        <family val="0"/>
        <charset val="1"/>
      </rPr>
      <t xml:space="preserve">36%</t>
    </r>
    <r>
      <rPr>
        <sz val="9"/>
        <color rgb="FF111C29"/>
        <rFont val="Noto Sans CJK SC"/>
        <family val="2"/>
      </rPr>
      <t xml:space="preserve">が「料理写真が良くない」。写真が選択に影響すると答えた人は</t>
    </r>
    <r>
      <rPr>
        <sz val="9"/>
        <color rgb="FF111C29"/>
        <rFont val="游ゴシック"/>
        <family val="0"/>
        <charset val="1"/>
      </rPr>
      <t xml:space="preserve">87%</t>
    </r>
    <r>
      <rPr>
        <sz val="9"/>
        <color rgb="FF111C29"/>
        <rFont val="Noto Sans CJK SC"/>
        <family val="2"/>
      </rPr>
      <t xml:space="preserve">です。</t>
    </r>
  </si>
  <si>
    <t xml:space="preserve">スタッフ・代表の顔写真と人柄が伝わる紹介を入れます</t>
  </si>
  <si>
    <r>
      <rPr>
        <sz val="9"/>
        <color rgb="FF111C29"/>
        <rFont val="Noto Sans CJK SC"/>
        <family val="2"/>
      </rPr>
      <t xml:space="preserve">税理士を選ぶときに最も重視された項目の</t>
    </r>
    <r>
      <rPr>
        <sz val="9"/>
        <color rgb="FF111C29"/>
        <rFont val="游ゴシック"/>
        <family val="0"/>
        <charset val="1"/>
      </rPr>
      <t xml:space="preserve">1</t>
    </r>
    <r>
      <rPr>
        <sz val="9"/>
        <color rgb="FF111C29"/>
        <rFont val="Noto Sans CJK SC"/>
        <family val="2"/>
      </rPr>
      <t xml:space="preserve">位は「相談しやすさ・人柄・相性」（</t>
    </r>
    <r>
      <rPr>
        <sz val="9"/>
        <color rgb="FF111C29"/>
        <rFont val="游ゴシック"/>
        <family val="0"/>
        <charset val="1"/>
      </rPr>
      <t xml:space="preserve">21%</t>
    </r>
    <r>
      <rPr>
        <sz val="9"/>
        <color rgb="FF111C29"/>
        <rFont val="Noto Sans CJK SC"/>
        <family val="2"/>
      </rPr>
      <t xml:space="preserve">）でした。</t>
    </r>
  </si>
  <si>
    <r>
      <rPr>
        <b val="true"/>
        <sz val="9.5"/>
        <color rgb="FF111C29"/>
        <rFont val="Noto Sans CJK SC"/>
        <family val="2"/>
      </rPr>
      <t xml:space="preserve">実績・事例は一覧と詳細の</t>
    </r>
    <r>
      <rPr>
        <b val="true"/>
        <sz val="9.5"/>
        <color rgb="FF111C29"/>
        <rFont val="游ゴシック"/>
        <family val="0"/>
        <charset val="1"/>
      </rPr>
      <t xml:space="preserve">2</t>
    </r>
    <r>
      <rPr>
        <b val="true"/>
        <sz val="9.5"/>
        <color rgb="FF111C29"/>
        <rFont val="Noto Sans CJK SC"/>
        <family val="2"/>
      </rPr>
      <t xml:space="preserve">段にします（工務店は最優先）</t>
    </r>
  </si>
  <si>
    <r>
      <rPr>
        <sz val="9"/>
        <color rgb="FF111C29"/>
        <rFont val="Noto Sans CJK SC"/>
        <family val="2"/>
      </rPr>
      <t xml:space="preserve">注文住宅の購入者調査では、施工事例が「参考になった」</t>
    </r>
    <r>
      <rPr>
        <sz val="9"/>
        <color rgb="FF111C29"/>
        <rFont val="游ゴシック"/>
        <family val="0"/>
        <charset val="1"/>
      </rPr>
      <t xml:space="preserve">58%</t>
    </r>
    <r>
      <rPr>
        <sz val="9"/>
        <color rgb="FF111C29"/>
        <rFont val="Noto Sans CJK SC"/>
        <family val="2"/>
      </rPr>
      <t xml:space="preserve">・「決め手になった」</t>
    </r>
    <r>
      <rPr>
        <sz val="9"/>
        <color rgb="FF111C29"/>
        <rFont val="游ゴシック"/>
        <family val="0"/>
        <charset val="1"/>
      </rPr>
      <t xml:space="preserve">57%</t>
    </r>
    <r>
      <rPr>
        <sz val="9"/>
        <color rgb="FF111C29"/>
        <rFont val="Noto Sans CJK SC"/>
        <family val="2"/>
      </rPr>
      <t xml:space="preserve">で両方</t>
    </r>
    <r>
      <rPr>
        <sz val="9"/>
        <color rgb="FF111C29"/>
        <rFont val="游ゴシック"/>
        <family val="0"/>
        <charset val="1"/>
      </rPr>
      <t xml:space="preserve">1</t>
    </r>
    <r>
      <rPr>
        <sz val="9"/>
        <color rgb="FF111C29"/>
        <rFont val="Noto Sans CJK SC"/>
        <family val="2"/>
      </rPr>
      <t xml:space="preserve">位。一方、会社紹介は参考</t>
    </r>
    <r>
      <rPr>
        <sz val="9"/>
        <color rgb="FF111C29"/>
        <rFont val="游ゴシック"/>
        <family val="0"/>
        <charset val="1"/>
      </rPr>
      <t xml:space="preserve">58%→</t>
    </r>
    <r>
      <rPr>
        <sz val="9"/>
        <color rgb="FF111C29"/>
        <rFont val="Noto Sans CJK SC"/>
        <family val="2"/>
      </rPr>
      <t xml:space="preserve">決め手</t>
    </r>
    <r>
      <rPr>
        <sz val="9"/>
        <color rgb="FF111C29"/>
        <rFont val="游ゴシック"/>
        <family val="0"/>
        <charset val="1"/>
      </rPr>
      <t xml:space="preserve">11%</t>
    </r>
    <r>
      <rPr>
        <sz val="9"/>
        <color rgb="FF111C29"/>
        <rFont val="Noto Sans CJK SC"/>
        <family val="2"/>
      </rPr>
      <t xml:space="preserve">に落ちるので、そこには工数を割きません。</t>
    </r>
  </si>
  <si>
    <t xml:space="preserve">お客様の声には、依頼した旨を明記します</t>
  </si>
  <si>
    <r>
      <rPr>
        <sz val="9"/>
        <color rgb="FF111C29"/>
        <rFont val="Noto Sans CJK SC"/>
        <family val="2"/>
      </rPr>
      <t xml:space="preserve">謝礼や依頼があるものは、事業者の表示だと分かるように書くことが景品表示法で必要です（</t>
    </r>
    <r>
      <rPr>
        <sz val="9"/>
        <color rgb="FF111C29"/>
        <rFont val="游ゴシック"/>
        <family val="0"/>
        <charset val="1"/>
      </rPr>
      <t xml:space="preserve">2023</t>
    </r>
    <r>
      <rPr>
        <sz val="9"/>
        <color rgb="FF111C29"/>
        <rFont val="Noto Sans CJK SC"/>
        <family val="2"/>
      </rPr>
      <t xml:space="preserve">年</t>
    </r>
    <r>
      <rPr>
        <sz val="9"/>
        <color rgb="FF111C29"/>
        <rFont val="游ゴシック"/>
        <family val="0"/>
        <charset val="1"/>
      </rPr>
      <t xml:space="preserve">10</t>
    </r>
    <r>
      <rPr>
        <sz val="9"/>
        <color rgb="FF111C29"/>
        <rFont val="Noto Sans CJK SC"/>
        <family val="2"/>
      </rPr>
      <t xml:space="preserve">月施行）。守らない制作会社が多いので、テンプレートに入れています。</t>
    </r>
  </si>
  <si>
    <r>
      <rPr>
        <b val="true"/>
        <sz val="9.5"/>
        <color rgb="FF111C29"/>
        <rFont val="Noto Sans CJK SC"/>
        <family val="2"/>
      </rPr>
      <t xml:space="preserve">料金・費用・選び方の解説を</t>
    </r>
    <r>
      <rPr>
        <b val="true"/>
        <sz val="9.5"/>
        <color rgb="FF111C29"/>
        <rFont val="游ゴシック"/>
        <family val="0"/>
        <charset val="1"/>
      </rPr>
      <t xml:space="preserve">3</t>
    </r>
    <r>
      <rPr>
        <b val="true"/>
        <sz val="9.5"/>
        <color rgb="FF111C29"/>
        <rFont val="Noto Sans CJK SC"/>
        <family val="2"/>
      </rPr>
      <t xml:space="preserve">〜</t>
    </r>
    <r>
      <rPr>
        <b val="true"/>
        <sz val="9.5"/>
        <color rgb="FF111C29"/>
        <rFont val="游ゴシック"/>
        <family val="0"/>
        <charset val="1"/>
      </rPr>
      <t xml:space="preserve">5</t>
    </r>
    <r>
      <rPr>
        <b val="true"/>
        <sz val="9.5"/>
        <color rgb="FF111C29"/>
        <rFont val="Noto Sans CJK SC"/>
        <family val="2"/>
      </rPr>
      <t xml:space="preserve">本だけ書きます</t>
    </r>
  </si>
  <si>
    <r>
      <rPr>
        <sz val="9"/>
        <color rgb="FF111C29"/>
        <rFont val="Noto Sans CJK SC"/>
        <family val="2"/>
      </rPr>
      <t xml:space="preserve">料金についての検索では、</t>
    </r>
    <r>
      <rPr>
        <sz val="9"/>
        <color rgb="FF111C29"/>
        <rFont val="游ゴシック"/>
        <family val="0"/>
        <charset val="1"/>
      </rPr>
      <t xml:space="preserve">8</t>
    </r>
    <r>
      <rPr>
        <sz val="9"/>
        <color rgb="FF111C29"/>
        <rFont val="Noto Sans CJK SC"/>
        <family val="2"/>
      </rPr>
      <t xml:space="preserve">割以上で</t>
    </r>
    <r>
      <rPr>
        <sz val="9"/>
        <color rgb="FF111C29"/>
        <rFont val="游ゴシック"/>
        <family val="0"/>
        <charset val="1"/>
      </rPr>
      <t xml:space="preserve">AI</t>
    </r>
    <r>
      <rPr>
        <sz val="9"/>
        <color rgb="FF111C29"/>
        <rFont val="Noto Sans CJK SC"/>
        <family val="2"/>
      </rPr>
      <t xml:space="preserve">の回答が表示されます。ここが</t>
    </r>
    <r>
      <rPr>
        <sz val="9"/>
        <color rgb="FF111C29"/>
        <rFont val="游ゴシック"/>
        <family val="0"/>
        <charset val="1"/>
      </rPr>
      <t xml:space="preserve">AI</t>
    </r>
    <r>
      <rPr>
        <sz val="9"/>
        <color rgb="FF111C29"/>
        <rFont val="Noto Sans CJK SC"/>
        <family val="2"/>
      </rPr>
      <t xml:space="preserve">に引用される入口です。ただし記事の量産はしません。ページ数と引用されやすさの相関はほぼゼロでした。</t>
    </r>
  </si>
  <si>
    <t xml:space="preserve">技術</t>
  </si>
  <si>
    <t xml:space="preserve">スマホとパソコンで同じ内容にします。スマホ用に内容を削りません</t>
  </si>
  <si>
    <r>
      <rPr>
        <sz val="9"/>
        <color rgb="FF111C29"/>
        <rFont val="游ゴシック"/>
        <family val="0"/>
        <charset val="1"/>
      </rPr>
      <t xml:space="preserve">Google</t>
    </r>
    <r>
      <rPr>
        <sz val="9"/>
        <color rgb="FF111C29"/>
        <rFont val="Noto Sans CJK SC"/>
        <family val="2"/>
      </rPr>
      <t xml:space="preserve">が「モバイルのコンテンツを減らすと流入の減少を想定すべき」と明記しています。</t>
    </r>
  </si>
  <si>
    <r>
      <rPr>
        <b val="true"/>
        <sz val="9.5"/>
        <color rgb="FF111C29"/>
        <rFont val="Noto Sans CJK SC"/>
        <family val="2"/>
      </rPr>
      <t xml:space="preserve">表示速度は</t>
    </r>
    <r>
      <rPr>
        <b val="true"/>
        <sz val="9.5"/>
        <color rgb="FF111C29"/>
        <rFont val="游ゴシック"/>
        <family val="0"/>
        <charset val="1"/>
      </rPr>
      <t xml:space="preserve">2.5</t>
    </r>
    <r>
      <rPr>
        <b val="true"/>
        <sz val="9.5"/>
        <color rgb="FF111C29"/>
        <rFont val="Noto Sans CJK SC"/>
        <family val="2"/>
      </rPr>
      <t xml:space="preserve">秒以内を納品条件にします</t>
    </r>
  </si>
  <si>
    <r>
      <rPr>
        <sz val="9"/>
        <color rgb="FF111C29"/>
        <rFont val="Noto Sans CJK SC"/>
        <family val="2"/>
      </rPr>
      <t xml:space="preserve">スマホでこの基準を満たしているサイトは</t>
    </r>
    <r>
      <rPr>
        <sz val="9"/>
        <color rgb="FF111C29"/>
        <rFont val="游ゴシック"/>
        <family val="0"/>
        <charset val="1"/>
      </rPr>
      <t xml:space="preserve">62%</t>
    </r>
    <r>
      <rPr>
        <sz val="9"/>
        <color rgb="FF111C29"/>
        <rFont val="Noto Sans CJK SC"/>
        <family val="2"/>
      </rPr>
      <t xml:space="preserve">しかなく、最大のつまずきどころです。写真が主役のお店のサイトは、構造的にここで遅くなります。</t>
    </r>
    <r>
      <rPr>
        <sz val="9"/>
        <color rgb="FF111C29"/>
        <rFont val="游ゴシック"/>
        <family val="0"/>
        <charset val="1"/>
      </rPr>
      <t xml:space="preserve">0.1</t>
    </r>
    <r>
      <rPr>
        <sz val="9"/>
        <color rgb="FF111C29"/>
        <rFont val="Noto Sans CJK SC"/>
        <family val="2"/>
      </rPr>
      <t xml:space="preserve">秒の改善で問い合わせページへの遷移が</t>
    </r>
    <r>
      <rPr>
        <sz val="9"/>
        <color rgb="FF111C29"/>
        <rFont val="游ゴシック"/>
        <family val="0"/>
        <charset val="1"/>
      </rPr>
      <t xml:space="preserve">21.6%</t>
    </r>
    <r>
      <rPr>
        <sz val="9"/>
        <color rgb="FF111C29"/>
        <rFont val="Noto Sans CJK SC"/>
        <family val="2"/>
      </rPr>
      <t xml:space="preserve">増えたという実測があります。</t>
    </r>
  </si>
  <si>
    <t xml:space="preserve">最初に表示される画像は、遅延読み込みにしません</t>
  </si>
  <si>
    <t xml:space="preserve">よくある設定ミスです。全部の画像に遅延読み込みをかけると、いちばん最初に見える画像の表示が逆に遅くなります。</t>
  </si>
  <si>
    <t xml:space="preserve">表示速度スコアの満点は狙いません</t>
  </si>
  <si>
    <r>
      <rPr>
        <sz val="9"/>
        <color rgb="FF111C29"/>
        <rFont val="游ゴシック"/>
        <family val="0"/>
        <charset val="1"/>
      </rPr>
      <t xml:space="preserve">Google</t>
    </r>
    <r>
      <rPr>
        <sz val="9"/>
        <color rgb="FF111C29"/>
        <rFont val="Noto Sans CJK SC"/>
        <family val="2"/>
      </rPr>
      <t xml:space="preserve">自身が「</t>
    </r>
    <r>
      <rPr>
        <sz val="9"/>
        <color rgb="FF111C29"/>
        <rFont val="游ゴシック"/>
        <family val="0"/>
        <charset val="1"/>
      </rPr>
      <t xml:space="preserve">SEO</t>
    </r>
    <r>
      <rPr>
        <sz val="9"/>
        <color rgb="FF111C29"/>
        <rFont val="Noto Sans CJK SC"/>
        <family val="2"/>
      </rPr>
      <t xml:space="preserve">のために満点を狙うのは時間の使い方として最善ではない」と書いています。反応速度の指標はスマホでも</t>
    </r>
    <r>
      <rPr>
        <sz val="9"/>
        <color rgb="FF111C29"/>
        <rFont val="游ゴシック"/>
        <family val="0"/>
        <charset val="1"/>
      </rPr>
      <t xml:space="preserve">77%</t>
    </r>
    <r>
      <rPr>
        <sz val="9"/>
        <color rgb="FF111C29"/>
        <rFont val="Noto Sans CJK SC"/>
        <family val="2"/>
      </rPr>
      <t xml:space="preserve">が基準を満たしており、お店のサイトでは実質的に問題になりません。監視だけします。</t>
    </r>
  </si>
  <si>
    <t xml:space="preserve">押せる部分は、指で押しやすい大きさにします</t>
  </si>
  <si>
    <r>
      <rPr>
        <sz val="9"/>
        <color rgb="FF111C29"/>
        <rFont val="Noto Sans CJK SC"/>
        <family val="2"/>
      </rPr>
      <t xml:space="preserve">国際的な指針の最低ラインは</t>
    </r>
    <r>
      <rPr>
        <sz val="9"/>
        <color rgb="FF111C29"/>
        <rFont val="游ゴシック"/>
        <family val="0"/>
        <charset val="1"/>
      </rPr>
      <t xml:space="preserve">24</t>
    </r>
    <r>
      <rPr>
        <sz val="9"/>
        <color rgb="FF111C29"/>
        <rFont val="Noto Sans CJK SC"/>
        <family val="2"/>
      </rPr>
      <t xml:space="preserve">ピクセル四方ですが、読み手が</t>
    </r>
    <r>
      <rPr>
        <sz val="9"/>
        <color rgb="FF111C29"/>
        <rFont val="游ゴシック"/>
        <family val="0"/>
        <charset val="1"/>
      </rPr>
      <t xml:space="preserve">50</t>
    </r>
    <r>
      <rPr>
        <sz val="9"/>
        <color rgb="FF111C29"/>
        <rFont val="Noto Sans CJK SC"/>
        <family val="2"/>
      </rPr>
      <t xml:space="preserve">〜</t>
    </r>
    <r>
      <rPr>
        <sz val="9"/>
        <color rgb="FF111C29"/>
        <rFont val="游ゴシック"/>
        <family val="0"/>
        <charset val="1"/>
      </rPr>
      <t xml:space="preserve">60</t>
    </r>
    <r>
      <rPr>
        <sz val="9"/>
        <color rgb="FF111C29"/>
        <rFont val="Noto Sans CJK SC"/>
        <family val="2"/>
      </rPr>
      <t xml:space="preserve">代の方であることを前提に</t>
    </r>
    <r>
      <rPr>
        <sz val="9"/>
        <color rgb="FF111C29"/>
        <rFont val="游ゴシック"/>
        <family val="0"/>
        <charset val="1"/>
      </rPr>
      <t xml:space="preserve">44</t>
    </r>
    <r>
      <rPr>
        <sz val="9"/>
        <color rgb="FF111C29"/>
        <rFont val="Noto Sans CJK SC"/>
        <family val="2"/>
      </rPr>
      <t xml:space="preserve">ピクセル四方を基準にしています。</t>
    </r>
  </si>
  <si>
    <t xml:space="preserve">構造化データを、業種に合った種類で設定します</t>
  </si>
  <si>
    <r>
      <rPr>
        <sz val="9"/>
        <color rgb="FF111C29"/>
        <rFont val="游ゴシック"/>
        <family val="0"/>
        <charset val="1"/>
      </rPr>
      <t xml:space="preserve">Google</t>
    </r>
    <r>
      <rPr>
        <sz val="9"/>
        <color rgb="FF111C29"/>
        <rFont val="Noto Sans CJK SC"/>
        <family val="2"/>
      </rPr>
      <t xml:space="preserve">に事業所の情報を正しく伝える設定です。実装の手間が小さいので無料で入れています。ただしこれを「</t>
    </r>
    <r>
      <rPr>
        <sz val="9"/>
        <color rgb="FF111C29"/>
        <rFont val="游ゴシック"/>
        <family val="0"/>
        <charset val="1"/>
      </rPr>
      <t xml:space="preserve">AI</t>
    </r>
    <r>
      <rPr>
        <sz val="9"/>
        <color rgb="FF111C29"/>
        <rFont val="Noto Sans CJK SC"/>
        <family val="2"/>
      </rPr>
      <t xml:space="preserve">検索対策」として売ることはしません。</t>
    </r>
    <r>
      <rPr>
        <sz val="9"/>
        <color rgb="FF111C29"/>
        <rFont val="游ゴシック"/>
        <family val="0"/>
        <charset val="1"/>
      </rPr>
      <t xml:space="preserve">Google</t>
    </r>
    <r>
      <rPr>
        <sz val="9"/>
        <color rgb="FF111C29"/>
        <rFont val="Noto Sans CJK SC"/>
        <family val="2"/>
      </rPr>
      <t xml:space="preserve">の公式ガイドが「生成</t>
    </r>
    <r>
      <rPr>
        <sz val="9"/>
        <color rgb="FF111C29"/>
        <rFont val="游ゴシック"/>
        <family val="0"/>
        <charset val="1"/>
      </rPr>
      <t xml:space="preserve">AI</t>
    </r>
    <r>
      <rPr>
        <sz val="9"/>
        <color rgb="FF111C29"/>
        <rFont val="Noto Sans CJK SC"/>
        <family val="2"/>
      </rPr>
      <t xml:space="preserve">の検索に構造化データは不要」と明記しています。</t>
    </r>
  </si>
  <si>
    <t xml:space="preserve">運用</t>
  </si>
  <si>
    <r>
      <rPr>
        <b val="true"/>
        <sz val="9.5"/>
        <color rgb="FF111C29"/>
        <rFont val="游ゴシック"/>
        <family val="0"/>
        <charset val="1"/>
      </rPr>
      <t xml:space="preserve">Google</t>
    </r>
    <r>
      <rPr>
        <b val="true"/>
        <sz val="9.5"/>
        <color rgb="FF111C29"/>
        <rFont val="Noto Sans CJK SC"/>
        <family val="2"/>
      </rPr>
      <t xml:space="preserve">ビジネスプロフィールのリンクを、正しく紐付けます</t>
    </r>
  </si>
  <si>
    <r>
      <rPr>
        <sz val="9"/>
        <color rgb="FF111C29"/>
        <rFont val="游ゴシック"/>
        <family val="0"/>
        <charset val="1"/>
      </rPr>
      <t xml:space="preserve">Google</t>
    </r>
    <r>
      <rPr>
        <sz val="9"/>
        <color rgb="FF111C29"/>
        <rFont val="Noto Sans CJK SC"/>
        <family val="2"/>
      </rPr>
      <t xml:space="preserve">は</t>
    </r>
    <r>
      <rPr>
        <sz val="9"/>
        <color rgb="FF111C29"/>
        <rFont val="游ゴシック"/>
        <family val="0"/>
        <charset val="1"/>
      </rPr>
      <t xml:space="preserve">SNS</t>
    </r>
    <r>
      <rPr>
        <sz val="9"/>
        <color rgb="FF111C29"/>
        <rFont val="Noto Sans CJK SC"/>
        <family val="2"/>
      </rPr>
      <t xml:space="preserve">・メッセージアプリ・短縮</t>
    </r>
    <r>
      <rPr>
        <sz val="9"/>
        <color rgb="FF111C29"/>
        <rFont val="游ゴシック"/>
        <family val="0"/>
        <charset val="1"/>
      </rPr>
      <t xml:space="preserve">URL</t>
    </r>
    <r>
      <rPr>
        <sz val="9"/>
        <color rgb="FF111C29"/>
        <rFont val="Noto Sans CJK SC"/>
        <family val="2"/>
      </rPr>
      <t xml:space="preserve">をリンク先に使うことを禁止しており、店舗ごとの専用ページを求めています。これが「</t>
    </r>
    <r>
      <rPr>
        <sz val="9"/>
        <color rgb="FF111C29"/>
        <rFont val="游ゴシック"/>
        <family val="0"/>
        <charset val="1"/>
      </rPr>
      <t xml:space="preserve">Google</t>
    </r>
    <r>
      <rPr>
        <sz val="9"/>
        <color rgb="FF111C29"/>
        <rFont val="Noto Sans CJK SC"/>
        <family val="2"/>
      </rPr>
      <t xml:space="preserve">マップや</t>
    </r>
    <r>
      <rPr>
        <sz val="9"/>
        <color rgb="FF111C29"/>
        <rFont val="游ゴシック"/>
        <family val="0"/>
        <charset val="1"/>
      </rPr>
      <t xml:space="preserve">Instagram</t>
    </r>
    <r>
      <rPr>
        <sz val="9"/>
        <color rgb="FF111C29"/>
        <rFont val="Noto Sans CJK SC"/>
        <family val="2"/>
      </rPr>
      <t xml:space="preserve">だけでは足りない」ことのはっきりした根拠です。マップ経由の行動の</t>
    </r>
    <r>
      <rPr>
        <sz val="9"/>
        <color rgb="FF111C29"/>
        <rFont val="游ゴシック"/>
        <family val="0"/>
        <charset val="1"/>
      </rPr>
      <t xml:space="preserve">47%</t>
    </r>
    <r>
      <rPr>
        <sz val="9"/>
        <color rgb="FF111C29"/>
        <rFont val="Noto Sans CJK SC"/>
        <family val="2"/>
      </rPr>
      <t xml:space="preserve">はウェブサイトへの訪問で、最も多い行動です。</t>
    </r>
  </si>
  <si>
    <r>
      <rPr>
        <b val="true"/>
        <sz val="9.5"/>
        <color rgb="FF111C29"/>
        <rFont val="Noto Sans CJK SC"/>
        <family val="2"/>
      </rPr>
      <t xml:space="preserve">問い合わせの通知を</t>
    </r>
    <r>
      <rPr>
        <b val="true"/>
        <sz val="9.5"/>
        <color rgb="FF111C29"/>
        <rFont val="游ゴシック"/>
        <family val="0"/>
        <charset val="1"/>
      </rPr>
      <t xml:space="preserve">2</t>
    </r>
    <r>
      <rPr>
        <b val="true"/>
        <sz val="9.5"/>
        <color rgb="FF111C29"/>
        <rFont val="Noto Sans CJK SC"/>
        <family val="2"/>
      </rPr>
      <t xml:space="preserve">系統にして、返答までの時間を書きます</t>
    </r>
  </si>
  <si>
    <r>
      <rPr>
        <sz val="9"/>
        <color rgb="FF111C29"/>
        <rFont val="Noto Sans CJK SC"/>
        <family val="2"/>
      </rPr>
      <t xml:space="preserve">米国</t>
    </r>
    <r>
      <rPr>
        <sz val="9"/>
        <color rgb="FF111C29"/>
        <rFont val="游ゴシック"/>
        <family val="0"/>
        <charset val="1"/>
      </rPr>
      <t xml:space="preserve">2,241</t>
    </r>
    <r>
      <rPr>
        <sz val="9"/>
        <color rgb="FF111C29"/>
        <rFont val="Noto Sans CJK SC"/>
        <family val="2"/>
      </rPr>
      <t xml:space="preserve">社を調べた研究では</t>
    </r>
    <r>
      <rPr>
        <sz val="9"/>
        <color rgb="FF111C29"/>
        <rFont val="游ゴシック"/>
        <family val="0"/>
        <charset val="1"/>
      </rPr>
      <t xml:space="preserve">23%</t>
    </r>
    <r>
      <rPr>
        <sz val="9"/>
        <color rgb="FF111C29"/>
        <rFont val="Noto Sans CJK SC"/>
        <family val="2"/>
      </rPr>
      <t xml:space="preserve">が返答せず、平均</t>
    </r>
    <r>
      <rPr>
        <sz val="9"/>
        <color rgb="FF111C29"/>
        <rFont val="游ゴシック"/>
        <family val="0"/>
        <charset val="1"/>
      </rPr>
      <t xml:space="preserve">42</t>
    </r>
    <r>
      <rPr>
        <sz val="9"/>
        <color rgb="FF111C29"/>
        <rFont val="Noto Sans CJK SC"/>
        <family val="2"/>
      </rPr>
      <t xml:space="preserve">時間かかっていました。</t>
    </r>
    <r>
      <rPr>
        <sz val="9"/>
        <color rgb="FF111C29"/>
        <rFont val="游ゴシック"/>
        <family val="0"/>
        <charset val="1"/>
      </rPr>
      <t xml:space="preserve">1</t>
    </r>
    <r>
      <rPr>
        <sz val="9"/>
        <color rgb="FF111C29"/>
        <rFont val="Noto Sans CJK SC"/>
        <family val="2"/>
      </rPr>
      <t xml:space="preserve">時間以内に接触した企業は約</t>
    </r>
    <r>
      <rPr>
        <sz val="9"/>
        <color rgb="FF111C29"/>
        <rFont val="游ゴシック"/>
        <family val="0"/>
        <charset val="1"/>
      </rPr>
      <t xml:space="preserve">7</t>
    </r>
    <r>
      <rPr>
        <sz val="9"/>
        <color rgb="FF111C29"/>
        <rFont val="Noto Sans CJK SC"/>
        <family val="2"/>
      </rPr>
      <t xml:space="preserve">倍、見込み客になりやすいという結果です。税理士を変えた理由の</t>
    </r>
    <r>
      <rPr>
        <sz val="9"/>
        <color rgb="FF111C29"/>
        <rFont val="游ゴシック"/>
        <family val="0"/>
        <charset val="1"/>
      </rPr>
      <t xml:space="preserve">1</t>
    </r>
    <r>
      <rPr>
        <sz val="9"/>
        <color rgb="FF111C29"/>
        <rFont val="Noto Sans CJK SC"/>
        <family val="2"/>
      </rPr>
      <t xml:space="preserve">位も「レスポンスの遅さ」（</t>
    </r>
    <r>
      <rPr>
        <sz val="9"/>
        <color rgb="FF111C29"/>
        <rFont val="游ゴシック"/>
        <family val="0"/>
        <charset val="1"/>
      </rPr>
      <t xml:space="preserve">30%</t>
    </r>
    <r>
      <rPr>
        <sz val="9"/>
        <color rgb="FF111C29"/>
        <rFont val="Noto Sans CJK SC"/>
        <family val="2"/>
      </rPr>
      <t xml:space="preserve">）でした。</t>
    </r>
  </si>
  <si>
    <t xml:space="preserve">納品後の運用は「口コミの鮮度を保つこと」に集約します</t>
  </si>
  <si>
    <r>
      <rPr>
        <sz val="9"/>
        <color rgb="FF111C29"/>
        <rFont val="游ゴシック"/>
        <family val="0"/>
        <charset val="1"/>
      </rPr>
      <t xml:space="preserve">74%</t>
    </r>
    <r>
      <rPr>
        <sz val="9"/>
        <color rgb="FF111C29"/>
        <rFont val="Noto Sans CJK SC"/>
        <family val="2"/>
      </rPr>
      <t xml:space="preserve">が直近</t>
    </r>
    <r>
      <rPr>
        <sz val="9"/>
        <color rgb="FF111C29"/>
        <rFont val="游ゴシック"/>
        <family val="0"/>
        <charset val="1"/>
      </rPr>
      <t xml:space="preserve">3</t>
    </r>
    <r>
      <rPr>
        <sz val="9"/>
        <color rgb="FF111C29"/>
        <rFont val="Noto Sans CJK SC"/>
        <family val="2"/>
      </rPr>
      <t xml:space="preserve">か月以内の口コミを重視し、</t>
    </r>
    <r>
      <rPr>
        <sz val="9"/>
        <color rgb="FF111C29"/>
        <rFont val="游ゴシック"/>
        <family val="0"/>
        <charset val="1"/>
      </rPr>
      <t xml:space="preserve">47%</t>
    </r>
    <r>
      <rPr>
        <sz val="9"/>
        <color rgb="FF111C29"/>
        <rFont val="Noto Sans CJK SC"/>
        <family val="2"/>
      </rPr>
      <t xml:space="preserve">は口コミが</t>
    </r>
    <r>
      <rPr>
        <sz val="9"/>
        <color rgb="FF111C29"/>
        <rFont val="游ゴシック"/>
        <family val="0"/>
        <charset val="1"/>
      </rPr>
      <t xml:space="preserve">20</t>
    </r>
    <r>
      <rPr>
        <sz val="9"/>
        <color rgb="FF111C29"/>
        <rFont val="Noto Sans CJK SC"/>
        <family val="2"/>
      </rPr>
      <t xml:space="preserve">件未満のお店を使わず、</t>
    </r>
    <r>
      <rPr>
        <sz val="9"/>
        <color rgb="FF111C29"/>
        <rFont val="游ゴシック"/>
        <family val="0"/>
        <charset val="1"/>
      </rPr>
      <t xml:space="preserve">42%</t>
    </r>
    <r>
      <rPr>
        <sz val="9"/>
        <color rgb="FF111C29"/>
        <rFont val="Noto Sans CJK SC"/>
        <family val="2"/>
      </rPr>
      <t xml:space="preserve">は口コミに返信していないお店を避け、</t>
    </r>
    <r>
      <rPr>
        <sz val="9"/>
        <color rgb="FF111C29"/>
        <rFont val="游ゴシック"/>
        <family val="0"/>
        <charset val="1"/>
      </rPr>
      <t xml:space="preserve">50%</t>
    </r>
    <r>
      <rPr>
        <sz val="9"/>
        <color rgb="FF111C29"/>
        <rFont val="Noto Sans CJK SC"/>
        <family val="2"/>
      </rPr>
      <t xml:space="preserve">は定型的な返信だと選ぶ確率が下がります。</t>
    </r>
  </si>
  <si>
    <t xml:space="preserve">区分の意味</t>
  </si>
  <si>
    <r>
      <rPr>
        <sz val="9.5"/>
        <color rgb="FF111C29"/>
        <rFont val="Noto Sans CJK SC"/>
        <family val="2"/>
      </rPr>
      <t xml:space="preserve">調査で「連絡されない理由」の</t>
    </r>
    <r>
      <rPr>
        <sz val="9.5"/>
        <color rgb="FF111C29"/>
        <rFont val="游ゴシック"/>
        <family val="0"/>
        <charset val="1"/>
      </rPr>
      <t xml:space="preserve">1</t>
    </r>
    <r>
      <rPr>
        <sz val="9.5"/>
        <color rgb="FF111C29"/>
        <rFont val="Noto Sans CJK SC"/>
        <family val="2"/>
      </rPr>
      <t xml:space="preserve">位と</t>
    </r>
    <r>
      <rPr>
        <sz val="9.5"/>
        <color rgb="FF111C29"/>
        <rFont val="游ゴシック"/>
        <family val="0"/>
        <charset val="1"/>
      </rPr>
      <t xml:space="preserve">2</t>
    </r>
    <r>
      <rPr>
        <sz val="9.5"/>
        <color rgb="FF111C29"/>
        <rFont val="Noto Sans CJK SC"/>
        <family val="2"/>
      </rPr>
      <t xml:space="preserve">位だった項目です。</t>
    </r>
  </si>
  <si>
    <t xml:space="preserve">見た人が判断材料にしている中身です。</t>
  </si>
  <si>
    <t xml:space="preserve">数字で効果が確認できるものだけ。やらないことも決めています。</t>
  </si>
  <si>
    <t xml:space="preserve">作ったあとに効く部分です。</t>
  </si>
  <si>
    <t xml:space="preserve">売らないと決めているもの</t>
  </si>
  <si>
    <t xml:space="preserve">これらを売っている制作会社は実際にある。根拠がないものを売らないと決めた。同じ商品棚に並ばないことが、いちばんの違い。</t>
  </si>
  <si>
    <t xml:space="preserve">理由</t>
  </si>
  <si>
    <r>
      <rPr>
        <b val="true"/>
        <sz val="10"/>
        <color rgb="FFB0342C"/>
        <rFont val="游ゴシック"/>
        <family val="0"/>
        <charset val="1"/>
      </rPr>
      <t xml:space="preserve">llms.txt </t>
    </r>
    <r>
      <rPr>
        <b val="true"/>
        <sz val="10"/>
        <color rgb="FFB0342C"/>
        <rFont val="Noto Sans CJK SC"/>
        <family val="2"/>
      </rPr>
      <t xml:space="preserve">の設置</t>
    </r>
  </si>
  <si>
    <r>
      <rPr>
        <sz val="9.5"/>
        <color rgb="FF111C29"/>
        <rFont val="游ゴシック"/>
        <family val="0"/>
        <charset val="1"/>
      </rPr>
      <t xml:space="preserve">Google</t>
    </r>
    <r>
      <rPr>
        <sz val="9.5"/>
        <color rgb="FF111C29"/>
        <rFont val="Noto Sans CJK SC"/>
        <family val="2"/>
      </rPr>
      <t xml:space="preserve">が公式に「不要」と明記しています。</t>
    </r>
    <r>
      <rPr>
        <sz val="9.5"/>
        <color rgb="FF111C29"/>
        <rFont val="游ゴシック"/>
        <family val="0"/>
        <charset val="1"/>
      </rPr>
      <t xml:space="preserve">Google</t>
    </r>
    <r>
      <rPr>
        <sz val="9.5"/>
        <color rgb="FF111C29"/>
        <rFont val="Noto Sans CJK SC"/>
        <family val="2"/>
      </rPr>
      <t xml:space="preserve">の担当者も「どの</t>
    </r>
    <r>
      <rPr>
        <sz val="9.5"/>
        <color rgb="FF111C29"/>
        <rFont val="游ゴシック"/>
        <family val="0"/>
        <charset val="1"/>
      </rPr>
      <t xml:space="preserve">AI</t>
    </r>
    <r>
      <rPr>
        <sz val="9.5"/>
        <color rgb="FF111C29"/>
        <rFont val="Noto Sans CJK SC"/>
        <family val="2"/>
      </rPr>
      <t xml:space="preserve">システムも使っていない」と発言しています。</t>
    </r>
  </si>
  <si>
    <r>
      <rPr>
        <b val="true"/>
        <sz val="10"/>
        <color rgb="FFB0342C"/>
        <rFont val="游ゴシック"/>
        <family val="0"/>
        <charset val="1"/>
      </rPr>
      <t xml:space="preserve">AI</t>
    </r>
    <r>
      <rPr>
        <b val="true"/>
        <sz val="10"/>
        <color rgb="FFB0342C"/>
        <rFont val="Noto Sans CJK SC"/>
        <family val="2"/>
      </rPr>
      <t xml:space="preserve">検索最適化（</t>
    </r>
    <r>
      <rPr>
        <b val="true"/>
        <sz val="10"/>
        <color rgb="FFB0342C"/>
        <rFont val="游ゴシック"/>
        <family val="0"/>
        <charset val="1"/>
      </rPr>
      <t xml:space="preserve">LLMO</t>
    </r>
    <r>
      <rPr>
        <b val="true"/>
        <sz val="10"/>
        <color rgb="FFB0342C"/>
        <rFont val="Noto Sans CJK SC"/>
        <family val="2"/>
      </rPr>
      <t xml:space="preserve">）</t>
    </r>
  </si>
  <si>
    <r>
      <rPr>
        <sz val="9.5"/>
        <color rgb="FF111C29"/>
        <rFont val="游ゴシック"/>
        <family val="0"/>
        <charset val="1"/>
      </rPr>
      <t xml:space="preserve">Google</t>
    </r>
    <r>
      <rPr>
        <sz val="9.5"/>
        <color rgb="FF111C29"/>
        <rFont val="Noto Sans CJK SC"/>
        <family val="2"/>
      </rPr>
      <t xml:space="preserve">の公式ガイドが、構造化データもコンテンツの分割も</t>
    </r>
    <r>
      <rPr>
        <sz val="9.5"/>
        <color rgb="FF111C29"/>
        <rFont val="游ゴシック"/>
        <family val="0"/>
        <charset val="1"/>
      </rPr>
      <t xml:space="preserve">AI</t>
    </r>
    <r>
      <rPr>
        <sz val="9.5"/>
        <color rgb="FF111C29"/>
        <rFont val="Noto Sans CJK SC"/>
        <family val="2"/>
      </rPr>
      <t xml:space="preserve">向けの書き方も不要だと明言しています。</t>
    </r>
  </si>
  <si>
    <r>
      <rPr>
        <b val="true"/>
        <sz val="10"/>
        <color rgb="FFB0342C"/>
        <rFont val="游ゴシック"/>
        <family val="0"/>
        <charset val="1"/>
      </rPr>
      <t xml:space="preserve">FAQ</t>
    </r>
    <r>
      <rPr>
        <b val="true"/>
        <sz val="10"/>
        <color rgb="FFB0342C"/>
        <rFont val="Noto Sans CJK SC"/>
        <family val="2"/>
      </rPr>
      <t xml:space="preserve">の構造化データ</t>
    </r>
  </si>
  <si>
    <r>
      <rPr>
        <sz val="9.5"/>
        <color rgb="FF111C29"/>
        <rFont val="游ゴシック"/>
        <family val="0"/>
        <charset val="1"/>
      </rPr>
      <t xml:space="preserve">2026</t>
    </r>
    <r>
      <rPr>
        <sz val="9.5"/>
        <color rgb="FF111C29"/>
        <rFont val="Noto Sans CJK SC"/>
        <family val="2"/>
      </rPr>
      <t xml:space="preserve">年</t>
    </r>
    <r>
      <rPr>
        <sz val="9.5"/>
        <color rgb="FF111C29"/>
        <rFont val="游ゴシック"/>
        <family val="0"/>
        <charset val="1"/>
      </rPr>
      <t xml:space="preserve">5</t>
    </r>
    <r>
      <rPr>
        <sz val="9.5"/>
        <color rgb="FF111C29"/>
        <rFont val="Noto Sans CJK SC"/>
        <family val="2"/>
      </rPr>
      <t xml:space="preserve">月</t>
    </r>
    <r>
      <rPr>
        <sz val="9.5"/>
        <color rgb="FF111C29"/>
        <rFont val="游ゴシック"/>
        <family val="0"/>
        <charset val="1"/>
      </rPr>
      <t xml:space="preserve">7</t>
    </r>
    <r>
      <rPr>
        <sz val="9.5"/>
        <color rgb="FF111C29"/>
        <rFont val="Noto Sans CJK SC"/>
        <family val="2"/>
      </rPr>
      <t xml:space="preserve">日に、</t>
    </r>
    <r>
      <rPr>
        <sz val="9.5"/>
        <color rgb="FF111C29"/>
        <rFont val="游ゴシック"/>
        <family val="0"/>
        <charset val="1"/>
      </rPr>
      <t xml:space="preserve">Google</t>
    </r>
    <r>
      <rPr>
        <sz val="9.5"/>
        <color rgb="FF111C29"/>
        <rFont val="Noto Sans CJK SC"/>
        <family val="2"/>
      </rPr>
      <t xml:space="preserve">検索での表示が終了しました。</t>
    </r>
  </si>
  <si>
    <r>
      <rPr>
        <b val="true"/>
        <sz val="10"/>
        <color rgb="FFB0342C"/>
        <rFont val="Noto Sans CJK SC"/>
        <family val="2"/>
      </rPr>
      <t xml:space="preserve">表示速度スコア</t>
    </r>
    <r>
      <rPr>
        <b val="true"/>
        <sz val="10"/>
        <color rgb="FFB0342C"/>
        <rFont val="游ゴシック"/>
        <family val="0"/>
        <charset val="1"/>
      </rPr>
      <t xml:space="preserve">100</t>
    </r>
    <r>
      <rPr>
        <b val="true"/>
        <sz val="10"/>
        <color rgb="FFB0342C"/>
        <rFont val="Noto Sans CJK SC"/>
        <family val="2"/>
      </rPr>
      <t xml:space="preserve">点</t>
    </r>
  </si>
  <si>
    <r>
      <rPr>
        <sz val="9.5"/>
        <color rgb="FF111C29"/>
        <rFont val="游ゴシック"/>
        <family val="0"/>
        <charset val="1"/>
      </rPr>
      <t xml:space="preserve">Google</t>
    </r>
    <r>
      <rPr>
        <sz val="9.5"/>
        <color rgb="FF111C29"/>
        <rFont val="Noto Sans CJK SC"/>
        <family val="2"/>
      </rPr>
      <t xml:space="preserve">自身が「</t>
    </r>
    <r>
      <rPr>
        <sz val="9.5"/>
        <color rgb="FF111C29"/>
        <rFont val="游ゴシック"/>
        <family val="0"/>
        <charset val="1"/>
      </rPr>
      <t xml:space="preserve">SEO</t>
    </r>
    <r>
      <rPr>
        <sz val="9.5"/>
        <color rgb="FF111C29"/>
        <rFont val="Noto Sans CJK SC"/>
        <family val="2"/>
      </rPr>
      <t xml:space="preserve">のために満点を狙うのは時間の使い方として最善ではない」と書いています。</t>
    </r>
    <r>
      <rPr>
        <sz val="9.5"/>
        <color rgb="FF111C29"/>
        <rFont val="游ゴシック"/>
        <family val="0"/>
        <charset val="1"/>
      </rPr>
      <t xml:space="preserve">2.5</t>
    </r>
    <r>
      <rPr>
        <sz val="9.5"/>
        <color rgb="FF111C29"/>
        <rFont val="Noto Sans CJK SC"/>
        <family val="2"/>
      </rPr>
      <t xml:space="preserve">秒以内を守れば十分です。</t>
    </r>
  </si>
  <si>
    <t xml:space="preserve">「アクセシビリティ義務化対応」</t>
  </si>
  <si>
    <r>
      <rPr>
        <sz val="9.5"/>
        <color rgb="FF111C29"/>
        <rFont val="游ゴシック"/>
        <family val="0"/>
        <charset val="1"/>
      </rPr>
      <t xml:space="preserve">2024</t>
    </r>
    <r>
      <rPr>
        <sz val="9.5"/>
        <color rgb="FF111C29"/>
        <rFont val="Noto Sans CJK SC"/>
        <family val="2"/>
      </rPr>
      <t xml:space="preserve">年に義務化されたのは合理的配慮の提供で、ウェブアクセシビリティ自体は義務化されていません。</t>
    </r>
  </si>
  <si>
    <r>
      <rPr>
        <sz val="9"/>
        <color rgb="FF5A6B7B"/>
        <rFont val="Noto Sans CJK SC"/>
        <family val="2"/>
      </rPr>
      <t xml:space="preserve">あわせて約束しないこと：検索順位（順位を保証する会社があれば疑ったほうがいい）／新規客が増えること（美容室の市場は前年比</t>
    </r>
    <r>
      <rPr>
        <sz val="9"/>
        <color rgb="FF5A6B7B"/>
        <rFont val="游ゴシック"/>
        <family val="0"/>
        <charset val="1"/>
      </rPr>
      <t xml:space="preserve">5.9%</t>
    </r>
    <r>
      <rPr>
        <sz val="9"/>
        <color rgb="FF5A6B7B"/>
        <rFont val="Noto Sans CJK SC"/>
        <family val="2"/>
      </rPr>
      <t xml:space="preserve">縮小）／補助金の採択。確実にできるのは、手数料の削減と再来店の導線づくり。そこは数字で確認できる。</t>
    </r>
  </si>
  <si>
    <t xml:space="preserve">業種ごとに何を作るか</t>
  </si>
  <si>
    <r>
      <rPr>
        <sz val="9.5"/>
        <color rgb="FF5A6B7B"/>
        <rFont val="Noto Sans CJK SC"/>
        <family val="2"/>
      </rPr>
      <t xml:space="preserve">値段は業種で変えない。変わるのは作るページの中身。中央値は</t>
    </r>
    <r>
      <rPr>
        <sz val="9.5"/>
        <color rgb="FF5A6B7B"/>
        <rFont val="游ゴシック"/>
        <family val="0"/>
        <charset val="1"/>
      </rPr>
      <t xml:space="preserve">846</t>
    </r>
    <r>
      <rPr>
        <sz val="9.5"/>
        <color rgb="FF5A6B7B"/>
        <rFont val="Noto Sans CJK SC"/>
        <family val="2"/>
      </rPr>
      <t xml:space="preserve">件の実発注データより。</t>
    </r>
  </si>
  <si>
    <t xml:space="preserve">業種</t>
  </si>
  <si>
    <t xml:space="preserve">推奨プラン</t>
  </si>
  <si>
    <t xml:space="preserve">制作費の中央値</t>
  </si>
  <si>
    <t xml:space="preserve">必ず入れるもの</t>
  </si>
  <si>
    <t xml:space="preserve">作らないもの</t>
  </si>
  <si>
    <t xml:space="preserve">財源（いまの費用）</t>
  </si>
  <si>
    <t xml:space="preserve">飲食店</t>
  </si>
  <si>
    <r>
      <rPr>
        <sz val="9.5"/>
        <color rgb="FF111C29"/>
        <rFont val="Noto Sans CJK SC"/>
        <family val="2"/>
      </rPr>
      <t xml:space="preserve">スタンダード
（</t>
    </r>
    <r>
      <rPr>
        <sz val="9.5"/>
        <color rgb="FF111C29"/>
        <rFont val="游ゴシック"/>
        <family val="0"/>
        <charset val="1"/>
      </rPr>
      <t xml:space="preserve">9</t>
    </r>
    <r>
      <rPr>
        <sz val="9.5"/>
        <color rgb="FF111C29"/>
        <rFont val="Noto Sans CJK SC"/>
        <family val="2"/>
      </rPr>
      <t xml:space="preserve">ページ）</t>
    </r>
  </si>
  <si>
    <r>
      <rPr>
        <sz val="10"/>
        <color rgb="FF5A6B7B"/>
        <rFont val="游ゴシック"/>
        <family val="0"/>
        <charset val="1"/>
      </rPr>
      <t xml:space="preserve">52.8</t>
    </r>
    <r>
      <rPr>
        <sz val="10"/>
        <color rgb="FF5A6B7B"/>
        <rFont val="Noto Sans CJK SC"/>
        <family val="2"/>
      </rPr>
      <t xml:space="preserve">万円</t>
    </r>
  </si>
  <si>
    <r>
      <rPr>
        <sz val="9"/>
        <color rgb="FF111C29"/>
        <rFont val="Noto Sans CJK SC"/>
        <family val="2"/>
      </rPr>
      <t xml:space="preserve">・メニューを文字で載せます（</t>
    </r>
    <r>
      <rPr>
        <sz val="9"/>
        <color rgb="FF111C29"/>
        <rFont val="游ゴシック"/>
        <family val="0"/>
        <charset val="1"/>
      </rPr>
      <t xml:space="preserve">PDF</t>
    </r>
    <r>
      <rPr>
        <sz val="9"/>
        <color rgb="FF111C29"/>
        <rFont val="Noto Sans CJK SC"/>
        <family val="2"/>
      </rPr>
      <t xml:space="preserve">や画像にしません）
・料理写真を、明るく、メニューごとに撮ります
・地図・アクセス・駐車場
・電話と予約の両方を置きます
・営業時間（臨時休業・年末年始まで）</t>
    </r>
  </si>
  <si>
    <r>
      <rPr>
        <sz val="9"/>
        <color rgb="FFB0342C"/>
        <rFont val="Noto Sans CJK SC"/>
        <family val="2"/>
      </rPr>
      <t xml:space="preserve">・</t>
    </r>
    <r>
      <rPr>
        <sz val="9"/>
        <color rgb="FFB0342C"/>
        <rFont val="游ゴシック"/>
        <family val="0"/>
        <charset val="1"/>
      </rPr>
      <t xml:space="preserve">Google</t>
    </r>
    <r>
      <rPr>
        <sz val="9"/>
        <color rgb="FFB0342C"/>
        <rFont val="Noto Sans CJK SC"/>
        <family val="2"/>
      </rPr>
      <t xml:space="preserve">の飲食店カルーセルを狙う設定</t>
    </r>
  </si>
  <si>
    <r>
      <rPr>
        <sz val="9"/>
        <color rgb="FF5A6B7B"/>
        <rFont val="Noto Sans CJK SC"/>
        <family val="2"/>
      </rPr>
      <t xml:space="preserve">食べログのベーシックプラン（税込</t>
    </r>
    <r>
      <rPr>
        <sz val="9"/>
        <color rgb="FF5A6B7B"/>
        <rFont val="游ゴシック"/>
        <family val="0"/>
        <charset val="1"/>
      </rPr>
      <t xml:space="preserve">27,500</t>
    </r>
    <r>
      <rPr>
        <sz val="9"/>
        <color rgb="FF5A6B7B"/>
        <rFont val="Noto Sans CJK SC"/>
        <family val="2"/>
      </rPr>
      <t xml:space="preserve">円）を無料プランに戻しても、ネット予約は固定費</t>
    </r>
    <r>
      <rPr>
        <sz val="9"/>
        <color rgb="FF5A6B7B"/>
        <rFont val="游ゴシック"/>
        <family val="0"/>
        <charset val="1"/>
      </rPr>
      <t xml:space="preserve">0</t>
    </r>
    <r>
      <rPr>
        <sz val="9"/>
        <color rgb="FF5A6B7B"/>
        <rFont val="Noto Sans CJK SC"/>
        <family val="2"/>
      </rPr>
      <t xml:space="preserve">円で使えます。常連さんの予約</t>
    </r>
    <r>
      <rPr>
        <sz val="9"/>
        <color rgb="FF5A6B7B"/>
        <rFont val="游ゴシック"/>
        <family val="0"/>
        <charset val="1"/>
      </rPr>
      <t xml:space="preserve">1</t>
    </r>
    <r>
      <rPr>
        <sz val="9"/>
        <color rgb="FF5A6B7B"/>
        <rFont val="Noto Sans CJK SC"/>
        <family val="2"/>
      </rPr>
      <t xml:space="preserve">件ごとに</t>
    </r>
    <r>
      <rPr>
        <sz val="9"/>
        <color rgb="FF5A6B7B"/>
        <rFont val="游ゴシック"/>
        <family val="0"/>
        <charset val="1"/>
      </rPr>
      <t xml:space="preserve">220</t>
    </r>
    <r>
      <rPr>
        <sz val="9"/>
        <color rgb="FF5A6B7B"/>
        <rFont val="Noto Sans CJK SC"/>
        <family val="2"/>
      </rPr>
      <t xml:space="preserve">円かかる構造から抜けます。</t>
    </r>
  </si>
  <si>
    <t xml:space="preserve">工務店・建設</t>
  </si>
  <si>
    <r>
      <rPr>
        <sz val="9.5"/>
        <color rgb="FF111C29"/>
        <rFont val="Noto Sans CJK SC"/>
        <family val="2"/>
      </rPr>
      <t xml:space="preserve">プロ
（</t>
    </r>
    <r>
      <rPr>
        <sz val="9.5"/>
        <color rgb="FF111C29"/>
        <rFont val="游ゴシック"/>
        <family val="0"/>
        <charset val="1"/>
      </rPr>
      <t xml:space="preserve">14</t>
    </r>
    <r>
      <rPr>
        <sz val="9.5"/>
        <color rgb="FF111C29"/>
        <rFont val="Noto Sans CJK SC"/>
        <family val="2"/>
      </rPr>
      <t xml:space="preserve">ページ）</t>
    </r>
  </si>
  <si>
    <r>
      <rPr>
        <sz val="10"/>
        <color rgb="FF5A6B7B"/>
        <rFont val="游ゴシック"/>
        <family val="0"/>
        <charset val="1"/>
      </rPr>
      <t xml:space="preserve">63.4</t>
    </r>
    <r>
      <rPr>
        <sz val="10"/>
        <color rgb="FF5A6B7B"/>
        <rFont val="Noto Sans CJK SC"/>
        <family val="2"/>
      </rPr>
      <t xml:space="preserve">万円</t>
    </r>
  </si>
  <si>
    <t xml:space="preserve">・施工事例を、増やしていける形で作ります
・性能・構造の説明
・お客様の声（依頼した旨を明記して）
・対応エリアを市町村ごとに
・問い合わせフォームを主役にします</t>
  </si>
  <si>
    <t xml:space="preserve">・会社紹介の作り込み
・「建設業許可番号の掲載は法律で必要」という説明</t>
  </si>
  <si>
    <t xml:space="preserve">この業種はポータルサイトより広告費の見直しが効きます。商圏の外への配信、成約ゼロの検索語、指名検索への過剰な出稿を整理します。</t>
  </si>
  <si>
    <t xml:space="preserve">美容室・サロン</t>
  </si>
  <si>
    <r>
      <rPr>
        <sz val="10"/>
        <color rgb="FF5A6B7B"/>
        <rFont val="游ゴシック"/>
        <family val="0"/>
        <charset val="1"/>
      </rPr>
      <t xml:space="preserve">54.8</t>
    </r>
    <r>
      <rPr>
        <sz val="10"/>
        <color rgb="FF5A6B7B"/>
        <rFont val="Noto Sans CJK SC"/>
        <family val="2"/>
      </rPr>
      <t xml:space="preserve">万円</t>
    </r>
  </si>
  <si>
    <r>
      <rPr>
        <sz val="9"/>
        <color rgb="FF111C29"/>
        <rFont val="Noto Sans CJK SC"/>
        <family val="2"/>
      </rPr>
      <t xml:space="preserve">・全メニューの料金表（税込・追加料金の条件まで）
・予約ボタンを最優先で置きます
・スタイリストの紹介（顔・得意なこと・指名のしかた）
・スタイルの写真
・電話も残します（</t>
    </r>
    <r>
      <rPr>
        <sz val="9"/>
        <color rgb="FF111C29"/>
        <rFont val="游ゴシック"/>
        <family val="0"/>
        <charset val="1"/>
      </rPr>
      <t xml:space="preserve">50</t>
    </r>
    <r>
      <rPr>
        <sz val="9"/>
        <color rgb="FF111C29"/>
        <rFont val="Noto Sans CJK SC"/>
        <family val="2"/>
      </rPr>
      <t xml:space="preserve">代以上のお客様向け）</t>
    </r>
  </si>
  <si>
    <t xml:space="preserve">・新規のお客様が増えるという約束</t>
  </si>
  <si>
    <r>
      <rPr>
        <sz val="9"/>
        <color rgb="FF5A6B7B"/>
        <rFont val="Noto Sans CJK SC"/>
        <family val="2"/>
      </rPr>
      <t xml:space="preserve">ホットペッパービューティーの掲載料は公開されていないので、まず直近の請求書を見せてください。無料プランが存在せず、予約売上の</t>
    </r>
    <r>
      <rPr>
        <sz val="9"/>
        <color rgb="FF5A6B7B"/>
        <rFont val="游ゴシック"/>
        <family val="0"/>
        <charset val="1"/>
      </rPr>
      <t xml:space="preserve">2%</t>
    </r>
    <r>
      <rPr>
        <sz val="9"/>
        <color rgb="FF5A6B7B"/>
        <rFont val="Noto Sans CJK SC"/>
        <family val="2"/>
      </rPr>
      <t xml:space="preserve">が手数料としてかかります。</t>
    </r>
  </si>
  <si>
    <t xml:space="preserve">士業・専門事務所</t>
  </si>
  <si>
    <r>
      <rPr>
        <sz val="10"/>
        <color rgb="FF5A6B7B"/>
        <rFont val="游ゴシック"/>
        <family val="0"/>
        <charset val="1"/>
      </rPr>
      <t xml:space="preserve">40.0</t>
    </r>
    <r>
      <rPr>
        <sz val="10"/>
        <color rgb="FF5A6B7B"/>
        <rFont val="Noto Sans CJK SC"/>
        <family val="2"/>
      </rPr>
      <t xml:space="preserve">万円</t>
    </r>
  </si>
  <si>
    <t xml:space="preserve">・料金の体系を明示します（範囲・別途費用まで）
・代表・担当者の顔写真と経歴、人柄が伝わる紹介
・取扱分野を具体的に分けて書きます
・電話を最上部に固定します
・返答までの時間を書きます</t>
  </si>
  <si>
    <t xml:space="preserve">・弁護士の方の広告表現</t>
  </si>
  <si>
    <r>
      <rPr>
        <sz val="9"/>
        <color rgb="FF5A6B7B"/>
        <rFont val="Noto Sans CJK SC"/>
        <family val="2"/>
      </rPr>
      <t xml:space="preserve">この業種は広告の獲得単価が高く（</t>
    </r>
    <r>
      <rPr>
        <sz val="9"/>
        <color rgb="FF5A6B7B"/>
        <rFont val="游ゴシック"/>
        <family val="0"/>
        <charset val="1"/>
      </rPr>
      <t xml:space="preserve">3</t>
    </r>
    <r>
      <rPr>
        <sz val="9"/>
        <color rgb="FF5A6B7B"/>
        <rFont val="Noto Sans CJK SC"/>
        <family val="2"/>
      </rPr>
      <t xml:space="preserve">万〜</t>
    </r>
    <r>
      <rPr>
        <sz val="9"/>
        <color rgb="FF5A6B7B"/>
        <rFont val="游ゴシック"/>
        <family val="0"/>
        <charset val="1"/>
      </rPr>
      <t xml:space="preserve">5</t>
    </r>
    <r>
      <rPr>
        <sz val="9"/>
        <color rgb="FF5A6B7B"/>
        <rFont val="Noto Sans CJK SC"/>
        <family val="2"/>
      </rPr>
      <t xml:space="preserve">万円という目安があります）、整理の余地が大きいです。商圏外への配信と、成約ゼロの検索語から見ます。</t>
    </r>
  </si>
  <si>
    <t xml:space="preserve">どの業種でも、作ったものはお客様のもの。ドメインは初日からお客様の名義で取り、ソースコードも撮影した写真の元データも渡す。やめても残る。</t>
  </si>
  <si>
    <r>
      <rPr>
        <b val="true"/>
        <sz val="15"/>
        <color rgb="FF1F3049"/>
        <rFont val="Noto Sans CJK SC"/>
        <family val="2"/>
      </rPr>
      <t xml:space="preserve">サイトの構成（</t>
    </r>
    <r>
      <rPr>
        <b val="true"/>
        <sz val="15"/>
        <color rgb="FF1F3049"/>
        <rFont val="游ゴシック"/>
        <family val="0"/>
        <charset val="1"/>
      </rPr>
      <t xml:space="preserve">21</t>
    </r>
    <r>
      <rPr>
        <b val="true"/>
        <sz val="15"/>
        <color rgb="FF1F3049"/>
        <rFont val="Noto Sans CJK SC"/>
        <family val="2"/>
      </rPr>
      <t xml:space="preserve">ページ）</t>
    </r>
  </si>
  <si>
    <r>
      <rPr>
        <sz val="9.5"/>
        <color rgb="FF5A6B7B"/>
        <rFont val="Noto Sans CJK SC"/>
        <family val="2"/>
      </rPr>
      <t xml:space="preserve">ヘッダーに入るのは</t>
    </r>
    <r>
      <rPr>
        <sz val="9.5"/>
        <color rgb="FF5A6B7B"/>
        <rFont val="游ゴシック"/>
        <family val="0"/>
        <charset val="1"/>
      </rPr>
      <t xml:space="preserve">4</t>
    </r>
    <r>
      <rPr>
        <sz val="9.5"/>
        <color rgb="FF5A6B7B"/>
        <rFont val="Noto Sans CJK SC"/>
        <family val="2"/>
      </rPr>
      <t xml:space="preserve">本だけ。先頭は一番の主張に使う。</t>
    </r>
  </si>
  <si>
    <t xml:space="preserve">ファイル</t>
  </si>
  <si>
    <t xml:space="preserve">見出し</t>
  </si>
  <si>
    <t xml:space="preserve">役割</t>
  </si>
  <si>
    <t xml:space="preserve">index.html</t>
  </si>
  <si>
    <t xml:space="preserve">ホーム</t>
  </si>
  <si>
    <t xml:space="preserve">トップ。主張→地代の比較→料金→総額→補助金→業種→正直に、の順</t>
  </si>
  <si>
    <t xml:space="preserve">owned.html</t>
  </si>
  <si>
    <t xml:space="preserve">借地と所有</t>
  </si>
  <si>
    <t xml:space="preserve">一番の主張。借地と所有。他のページはここを支える材料</t>
  </si>
  <si>
    <t xml:space="preserve">price.html</t>
  </si>
  <si>
    <t xml:space="preserve">料金</t>
  </si>
  <si>
    <r>
      <rPr>
        <sz val="9"/>
        <color rgb="FF5A6B7B"/>
        <rFont val="Noto Sans CJK SC"/>
        <family val="2"/>
      </rPr>
      <t xml:space="preserve">料金の全部。</t>
    </r>
    <r>
      <rPr>
        <sz val="9"/>
        <color rgb="FF5A6B7B"/>
        <rFont val="游ゴシック"/>
        <family val="0"/>
        <charset val="1"/>
      </rPr>
      <t xml:space="preserve">1</t>
    </r>
    <r>
      <rPr>
        <sz val="9"/>
        <color rgb="FF5A6B7B"/>
        <rFont val="Noto Sans CJK SC"/>
        <family val="2"/>
      </rPr>
      <t xml:space="preserve">ページから、分割、月額制との</t>
    </r>
    <r>
      <rPr>
        <sz val="9"/>
        <color rgb="FF5A6B7B"/>
        <rFont val="游ゴシック"/>
        <family val="0"/>
        <charset val="1"/>
      </rPr>
      <t xml:space="preserve">36</t>
    </r>
    <r>
      <rPr>
        <sz val="9"/>
        <color rgb="FF5A6B7B"/>
        <rFont val="Noto Sans CJK SC"/>
        <family val="2"/>
      </rPr>
      <t xml:space="preserve">か月比較まで</t>
    </r>
  </si>
  <si>
    <t xml:space="preserve">unlimited.html</t>
  </si>
  <si>
    <t xml:space="preserve">変更は何回でも</t>
  </si>
  <si>
    <t xml:space="preserve">「無制限」の範囲を全部書く。曖昧にすると揉める</t>
  </si>
  <si>
    <t xml:space="preserve">source.html</t>
  </si>
  <si>
    <t xml:space="preserve">ソースコードの納品</t>
  </si>
  <si>
    <t xml:space="preserve">ソースコードを渡す理由と、渡すものの中身</t>
  </si>
  <si>
    <t xml:space="preserve">cost-cut.html</t>
  </si>
  <si>
    <t xml:space="preserve">掲載費の見直し</t>
  </si>
  <si>
    <t xml:space="preserve">掲載費の見直し。新しい予算の前に、いまの費用を見る</t>
  </si>
  <si>
    <t xml:space="preserve">subsidy.html</t>
  </si>
  <si>
    <t xml:space="preserve">補助金の手順と注意点。採択率も自己負担も先に出す</t>
  </si>
  <si>
    <t xml:space="preserve">spec.html</t>
  </si>
  <si>
    <t xml:space="preserve">納品する仕様</t>
  </si>
  <si>
    <r>
      <rPr>
        <sz val="9"/>
        <color rgb="FF5A6B7B"/>
        <rFont val="Noto Sans CJK SC"/>
        <family val="2"/>
      </rPr>
      <t xml:space="preserve">納品する仕様</t>
    </r>
    <r>
      <rPr>
        <sz val="9"/>
        <color rgb="FF5A6B7B"/>
        <rFont val="游ゴシック"/>
        <family val="0"/>
        <charset val="1"/>
      </rPr>
      <t xml:space="preserve">20</t>
    </r>
    <r>
      <rPr>
        <sz val="9"/>
        <color rgb="FF5A6B7B"/>
        <rFont val="Noto Sans CJK SC"/>
        <family val="2"/>
      </rPr>
      <t xml:space="preserve">項目＋売らないもの</t>
    </r>
    <r>
      <rPr>
        <sz val="9"/>
        <color rgb="FF5A6B7B"/>
        <rFont val="游ゴシック"/>
        <family val="0"/>
        <charset val="1"/>
      </rPr>
      <t xml:space="preserve">5</t>
    </r>
    <r>
      <rPr>
        <sz val="9"/>
        <color rgb="FF5A6B7B"/>
        <rFont val="Noto Sans CJK SC"/>
        <family val="2"/>
      </rPr>
      <t xml:space="preserve">件。機械で検証</t>
    </r>
  </si>
  <si>
    <t xml:space="preserve">flow.html</t>
  </si>
  <si>
    <t xml:space="preserve">制作の流れ</t>
  </si>
  <si>
    <t xml:space="preserve">works.html</t>
  </si>
  <si>
    <t xml:space="preserve">制作事例</t>
  </si>
  <si>
    <r>
      <rPr>
        <sz val="9"/>
        <color rgb="FF5A6B7B"/>
        <rFont val="Noto Sans CJK SC"/>
        <family val="2"/>
      </rPr>
      <t xml:space="preserve">制作事例。まだ</t>
    </r>
    <r>
      <rPr>
        <sz val="9"/>
        <color rgb="FF5A6B7B"/>
        <rFont val="游ゴシック"/>
        <family val="0"/>
        <charset val="1"/>
      </rPr>
      <t xml:space="preserve">1</t>
    </r>
    <r>
      <rPr>
        <sz val="9"/>
        <color rgb="FF5A6B7B"/>
        <rFont val="Noto Sans CJK SC"/>
        <family val="2"/>
      </rPr>
      <t xml:space="preserve">件目だと正直に書く</t>
    </r>
  </si>
  <si>
    <t xml:space="preserve">faq.html</t>
  </si>
  <si>
    <t xml:space="preserve">よくあるご質問</t>
  </si>
  <si>
    <t xml:space="preserve">電話の前に確かめたいこと</t>
  </si>
  <si>
    <t xml:space="preserve">about.html</t>
  </si>
  <si>
    <t xml:space="preserve">私たちについて</t>
  </si>
  <si>
    <r>
      <rPr>
        <sz val="9"/>
        <color rgb="FF5A6B7B"/>
        <rFont val="游ゴシック"/>
        <family val="0"/>
        <charset val="1"/>
      </rPr>
      <t xml:space="preserve">2</t>
    </r>
    <r>
      <rPr>
        <sz val="9"/>
        <color rgb="FF5A6B7B"/>
        <rFont val="Noto Sans CJK SC"/>
        <family val="2"/>
      </rPr>
      <t xml:space="preserve">人でやっていること</t>
    </r>
  </si>
  <si>
    <t xml:space="preserve">contact.html</t>
  </si>
  <si>
    <t xml:space="preserve">相談する</t>
  </si>
  <si>
    <r>
      <rPr>
        <sz val="9"/>
        <color rgb="FF5A6B7B"/>
        <rFont val="Noto Sans CJK SC"/>
        <family val="2"/>
      </rPr>
      <t xml:space="preserve">相談する。聞くのは</t>
    </r>
    <r>
      <rPr>
        <sz val="9"/>
        <color rgb="FF5A6B7B"/>
        <rFont val="游ゴシック"/>
        <family val="0"/>
        <charset val="1"/>
      </rPr>
      <t xml:space="preserve">3</t>
    </r>
    <r>
      <rPr>
        <sz val="9"/>
        <color rgb="FF5A6B7B"/>
        <rFont val="Noto Sans CJK SC"/>
        <family val="2"/>
      </rPr>
      <t xml:space="preserve">つだけ</t>
    </r>
  </si>
  <si>
    <t xml:space="preserve">terms.html</t>
  </si>
  <si>
    <t xml:space="preserve">ご契約とお約束</t>
  </si>
  <si>
    <t xml:space="preserve">ご契約とお約束（弁護士確認が未了）</t>
  </si>
  <si>
    <t xml:space="preserve">privacy.html</t>
  </si>
  <si>
    <t xml:space="preserve">個人情報の取り扱い</t>
  </si>
  <si>
    <r>
      <rPr>
        <sz val="9"/>
        <color rgb="FF5A6B7B"/>
        <rFont val="Noto Sans CJK SC"/>
        <family val="2"/>
      </rPr>
      <t xml:space="preserve">個人情報の取り扱い。アクセス解析も</t>
    </r>
    <r>
      <rPr>
        <sz val="9"/>
        <color rgb="FF5A6B7B"/>
        <rFont val="游ゴシック"/>
        <family val="0"/>
        <charset val="1"/>
      </rPr>
      <t xml:space="preserve">Cookie</t>
    </r>
    <r>
      <rPr>
        <sz val="9"/>
        <color rgb="FF5A6B7B"/>
        <rFont val="Noto Sans CJK SC"/>
        <family val="2"/>
      </rPr>
      <t xml:space="preserve">も使っていない</t>
    </r>
  </si>
  <si>
    <t xml:space="preserve">legal.html</t>
  </si>
  <si>
    <t xml:space="preserve">特定商取引法に基づく表記</t>
  </si>
  <si>
    <t xml:space="preserve">restaurant.html</t>
  </si>
  <si>
    <t xml:space="preserve">飲食店（業種別）</t>
  </si>
  <si>
    <t xml:space="preserve">メニューと写真と予約導線。食べログの掲載費の見直しまで。</t>
  </si>
  <si>
    <t xml:space="preserve">koumuten.html</t>
  </si>
  <si>
    <t xml:space="preserve">工務店・建設（業種別）</t>
  </si>
  <si>
    <t xml:space="preserve">施工事例が増えていく設計。問い合わせフォームが主役。</t>
  </si>
  <si>
    <t xml:space="preserve">salon.html</t>
  </si>
  <si>
    <t xml:space="preserve">美容室・サロン（業種別）</t>
  </si>
  <si>
    <t xml:space="preserve">全メニューの料金表と予約導線。掲載費の棚卸しから。</t>
  </si>
  <si>
    <t xml:space="preserve">shigyo.html</t>
  </si>
  <si>
    <t xml:space="preserve">士業・専門事務所（業種別）</t>
  </si>
  <si>
    <t xml:space="preserve">料金を明示して、人柄が伝わること。電話を最上部に。</t>
  </si>
  <si>
    <t xml:space="preserve">404.html</t>
  </si>
  <si>
    <t xml:space="preserve">ページが見つかりません</t>
  </si>
  <si>
    <t xml:space="preserve">行き止まりにせず、電話とトップに戻す</t>
  </si>
  <si>
    <r>
      <rPr>
        <sz val="9"/>
        <color rgb="FF5A6B7B"/>
        <rFont val="Noto Sans CJK SC"/>
        <family val="2"/>
      </rPr>
      <t xml:space="preserve">ヘッダーに入る</t>
    </r>
    <r>
      <rPr>
        <sz val="9"/>
        <color rgb="FF5A6B7B"/>
        <rFont val="游ゴシック"/>
        <family val="0"/>
        <charset val="1"/>
      </rPr>
      <t xml:space="preserve">4</t>
    </r>
    <r>
      <rPr>
        <sz val="9"/>
        <color rgb="FF5A6B7B"/>
        <rFont val="Noto Sans CJK SC"/>
        <family val="2"/>
      </rPr>
      <t xml:space="preserve">本：借地と所有／料金／掲載費の見直し／補助金。</t>
    </r>
    <r>
      <rPr>
        <sz val="9"/>
        <color rgb="FF5A6B7B"/>
        <rFont val="游ゴシック"/>
        <family val="0"/>
        <charset val="1"/>
      </rPr>
      <t xml:space="preserve">robots.txt </t>
    </r>
    <r>
      <rPr>
        <sz val="9"/>
        <color rgb="FF5A6B7B"/>
        <rFont val="Noto Sans CJK SC"/>
        <family val="2"/>
      </rPr>
      <t xml:space="preserve">と </t>
    </r>
    <r>
      <rPr>
        <sz val="9"/>
        <color rgb="FF5A6B7B"/>
        <rFont val="游ゴシック"/>
        <family val="0"/>
        <charset val="1"/>
      </rPr>
      <t xml:space="preserve">sitemap.xml </t>
    </r>
    <r>
      <rPr>
        <sz val="9"/>
        <color rgb="FF5A6B7B"/>
        <rFont val="Noto Sans CJK SC"/>
        <family val="2"/>
      </rPr>
      <t xml:space="preserve">も出力する。</t>
    </r>
    <r>
      <rPr>
        <sz val="9"/>
        <color rgb="FF5A6B7B"/>
        <rFont val="游ゴシック"/>
        <family val="0"/>
        <charset val="1"/>
      </rPr>
      <t xml:space="preserve">llms.txt </t>
    </r>
    <r>
      <rPr>
        <sz val="9"/>
        <color rgb="FF5A6B7B"/>
        <rFont val="Noto Sans CJK SC"/>
        <family val="2"/>
      </rPr>
      <t xml:space="preserve">は作らない（根拠がないため。検査が見張っている）。</t>
    </r>
  </si>
  <si>
    <t xml:space="preserve">紬（つむぎ）　料金表</t>
  </si>
  <si>
    <t xml:space="preserve">金額はすべて税別です。業種によって値段は変えません。変わるのは作るページの中身です。</t>
  </si>
  <si>
    <t xml:space="preserve">ページ数</t>
  </si>
  <si>
    <r>
      <rPr>
        <b val="true"/>
        <sz val="10"/>
        <color rgb="FFFFFFFF"/>
        <rFont val="Noto Sans CJK SC"/>
        <family val="2"/>
      </rPr>
      <t xml:space="preserve">分割 月額</t>
    </r>
    <r>
      <rPr>
        <b val="true"/>
        <sz val="10"/>
        <color rgb="FFFFFFFF"/>
        <rFont val="游ゴシック"/>
        <family val="0"/>
        <charset val="1"/>
      </rPr>
      <t xml:space="preserve">×24</t>
    </r>
    <r>
      <rPr>
        <b val="true"/>
        <sz val="10"/>
        <color rgb="FFFFFFFF"/>
        <rFont val="Noto Sans CJK SC"/>
        <family val="2"/>
      </rPr>
      <t xml:space="preserve">回</t>
    </r>
  </si>
  <si>
    <t xml:space="preserve">分割なら毎月※</t>
  </si>
  <si>
    <r>
      <rPr>
        <sz val="10"/>
        <color rgb="FF111C29"/>
        <rFont val="游ゴシック"/>
        <family val="0"/>
        <charset val="1"/>
      </rPr>
      <t xml:space="preserve">1</t>
    </r>
    <r>
      <rPr>
        <sz val="10"/>
        <color rgb="FF111C29"/>
        <rFont val="Noto Sans CJK SC"/>
        <family val="2"/>
      </rPr>
      <t xml:space="preserve">ページ</t>
    </r>
  </si>
  <si>
    <r>
      <rPr>
        <sz val="10"/>
        <color rgb="FF111C29"/>
        <rFont val="游ゴシック"/>
        <family val="0"/>
        <charset val="1"/>
      </rPr>
      <t xml:space="preserve">6</t>
    </r>
    <r>
      <rPr>
        <sz val="10"/>
        <color rgb="FF111C29"/>
        <rFont val="Noto Sans CJK SC"/>
        <family val="2"/>
      </rPr>
      <t xml:space="preserve">ページ</t>
    </r>
  </si>
  <si>
    <r>
      <rPr>
        <sz val="10"/>
        <color rgb="FF111C29"/>
        <rFont val="游ゴシック"/>
        <family val="0"/>
        <charset val="1"/>
      </rPr>
      <t xml:space="preserve">9</t>
    </r>
    <r>
      <rPr>
        <sz val="10"/>
        <color rgb="FF111C29"/>
        <rFont val="Noto Sans CJK SC"/>
        <family val="2"/>
      </rPr>
      <t xml:space="preserve">ページ</t>
    </r>
  </si>
  <si>
    <r>
      <rPr>
        <sz val="10"/>
        <color rgb="FF111C29"/>
        <rFont val="游ゴシック"/>
        <family val="0"/>
        <charset val="1"/>
      </rPr>
      <t xml:space="preserve">14</t>
    </r>
    <r>
      <rPr>
        <sz val="10"/>
        <color rgb="FF111C29"/>
        <rFont val="Noto Sans CJK SC"/>
        <family val="2"/>
      </rPr>
      <t xml:space="preserve">ページ</t>
    </r>
  </si>
  <si>
    <r>
      <rPr>
        <sz val="9"/>
        <color rgb="FF5A6B7B"/>
        <rFont val="Noto Sans CJK SC"/>
        <family val="2"/>
      </rPr>
      <t xml:space="preserve">★＝いちばん多い選択。※「分割なら毎月」は制作費の分割分と運用費を合わせた金額です。分割にしても総額は買い切りと同じで、手数料は</t>
    </r>
    <r>
      <rPr>
        <sz val="9"/>
        <color rgb="FF5A6B7B"/>
        <rFont val="游ゴシック"/>
        <family val="0"/>
        <charset val="1"/>
      </rPr>
      <t xml:space="preserve">0</t>
    </r>
    <r>
      <rPr>
        <sz val="9"/>
        <color rgb="FF5A6B7B"/>
        <rFont val="Noto Sans CJK SC"/>
        <family val="2"/>
      </rPr>
      <t xml:space="preserve">円です。契約期間の縛りもありません。</t>
    </r>
  </si>
  <si>
    <t xml:space="preserve">運用（月額）</t>
  </si>
  <si>
    <r>
      <rPr>
        <sz val="9.5"/>
        <color rgb="FF5A6B7B"/>
        <rFont val="Noto Sans CJK SC"/>
        <family val="2"/>
      </rPr>
      <t xml:space="preserve">契約は</t>
    </r>
    <r>
      <rPr>
        <sz val="9.5"/>
        <color rgb="FF5A6B7B"/>
        <rFont val="游ゴシック"/>
        <family val="0"/>
        <charset val="1"/>
      </rPr>
      <t xml:space="preserve">3</t>
    </r>
    <r>
      <rPr>
        <sz val="9.5"/>
        <color rgb="FF5A6B7B"/>
        <rFont val="Noto Sans CJK SC"/>
        <family val="2"/>
      </rPr>
      <t xml:space="preserve">か月単位。違約金はありません。やめてもサイトは残ります。</t>
    </r>
  </si>
  <si>
    <t xml:space="preserve">標準で含まれるもの（追加料金なし）</t>
  </si>
  <si>
    <t xml:space="preserve">●</t>
  </si>
  <si>
    <t xml:space="preserve">文章の修正・写真の差し替え・料金の変更・営業時間の変更・お知らせの投稿は、何回でも無料です（運用の月額に含まれています）。ページそのものを増やす場合だけ別途いただきます。</t>
  </si>
  <si>
    <t xml:space="preserve">ドメインは初日からお客様の名義で取得します。ソースコード一式も、撮影した写真の元データもお渡しします。運用をやめても、サイトは残ります。</t>
  </si>
  <si>
    <r>
      <rPr>
        <b val="true"/>
        <sz val="15"/>
        <color rgb="FF1F3049"/>
        <rFont val="Noto Sans CJK SC"/>
        <family val="2"/>
      </rPr>
      <t xml:space="preserve">月額制と、</t>
    </r>
    <r>
      <rPr>
        <b val="true"/>
        <sz val="15"/>
        <color rgb="FF1F3049"/>
        <rFont val="游ゴシック"/>
        <family val="0"/>
        <charset val="1"/>
      </rPr>
      <t xml:space="preserve">36</t>
    </r>
    <r>
      <rPr>
        <b val="true"/>
        <sz val="15"/>
        <color rgb="FF1F3049"/>
        <rFont val="Noto Sans CJK SC"/>
        <family val="2"/>
      </rPr>
      <t xml:space="preserve">か月の総額で並べます</t>
    </r>
  </si>
  <si>
    <r>
      <rPr>
        <sz val="9.5"/>
        <color rgb="FF5A6B7B"/>
        <rFont val="Noto Sans CJK SC"/>
        <family val="2"/>
      </rPr>
      <t xml:space="preserve">月々だけを見ると月額制が安く見えます。総額と、サイトがお客様のものになる時点の</t>
    </r>
    <r>
      <rPr>
        <sz val="9.5"/>
        <color rgb="FF5A6B7B"/>
        <rFont val="游ゴシック"/>
        <family val="0"/>
        <charset val="1"/>
      </rPr>
      <t xml:space="preserve">2</t>
    </r>
    <r>
      <rPr>
        <sz val="9.5"/>
        <color rgb="FF5A6B7B"/>
        <rFont val="Noto Sans CJK SC"/>
        <family val="2"/>
      </rPr>
      <t xml:space="preserve">つで比べてください。</t>
    </r>
  </si>
  <si>
    <t xml:space="preserve">同じくらいのページ数で</t>
  </si>
  <si>
    <t xml:space="preserve">紬</t>
  </si>
  <si>
    <t xml:space="preserve">差</t>
  </si>
  <si>
    <r>
      <rPr>
        <b val="true"/>
        <sz val="10"/>
        <color rgb="FF111C29"/>
        <rFont val="游ゴシック"/>
        <family val="0"/>
        <charset val="1"/>
      </rPr>
      <t xml:space="preserve">1</t>
    </r>
    <r>
      <rPr>
        <b val="true"/>
        <sz val="10"/>
        <color rgb="FF111C29"/>
        <rFont val="Noto Sans CJK SC"/>
        <family val="2"/>
      </rPr>
      <t xml:space="preserve">ページ前後</t>
    </r>
  </si>
  <si>
    <r>
      <rPr>
        <b val="true"/>
        <sz val="10"/>
        <color rgb="FF111C29"/>
        <rFont val="游ゴシック"/>
        <family val="0"/>
        <charset val="1"/>
      </rPr>
      <t xml:space="preserve">6</t>
    </r>
    <r>
      <rPr>
        <b val="true"/>
        <sz val="10"/>
        <color rgb="FF111C29"/>
        <rFont val="Noto Sans CJK SC"/>
        <family val="2"/>
      </rPr>
      <t xml:space="preserve">ページ前後</t>
    </r>
  </si>
  <si>
    <r>
      <rPr>
        <b val="true"/>
        <sz val="10"/>
        <color rgb="FF111C29"/>
        <rFont val="游ゴシック"/>
        <family val="0"/>
        <charset val="1"/>
      </rPr>
      <t xml:space="preserve">12</t>
    </r>
    <r>
      <rPr>
        <b val="true"/>
        <sz val="10"/>
        <color rgb="FF111C29"/>
        <rFont val="Noto Sans CJK SC"/>
        <family val="2"/>
      </rPr>
      <t xml:space="preserve">ページ前後</t>
    </r>
  </si>
  <si>
    <r>
      <rPr>
        <sz val="9"/>
        <color rgb="FF5A6B7B"/>
        <rFont val="Noto Sans CJK SC"/>
        <family val="2"/>
      </rPr>
      <t xml:space="preserve">各社が公開している料金ページ（</t>
    </r>
    <r>
      <rPr>
        <sz val="9"/>
        <color rgb="FF5A6B7B"/>
        <rFont val="游ゴシック"/>
        <family val="0"/>
        <charset val="1"/>
      </rPr>
      <t xml:space="preserve">2026</t>
    </r>
    <r>
      <rPr>
        <sz val="9"/>
        <color rgb="FF5A6B7B"/>
        <rFont val="Noto Sans CJK SC"/>
        <family val="2"/>
      </rPr>
      <t xml:space="preserve">年</t>
    </r>
    <r>
      <rPr>
        <sz val="9"/>
        <color rgb="FF5A6B7B"/>
        <rFont val="游ゴシック"/>
        <family val="0"/>
        <charset val="1"/>
      </rPr>
      <t xml:space="preserve">9</t>
    </r>
    <r>
      <rPr>
        <sz val="9"/>
        <color rgb="FF5A6B7B"/>
        <rFont val="Noto Sans CJK SC"/>
        <family val="2"/>
      </rPr>
      <t xml:space="preserve">月時点）。金額は税別です。月額制は最低契約</t>
    </r>
    <r>
      <rPr>
        <sz val="9"/>
        <color rgb="FF5A6B7B"/>
        <rFont val="游ゴシック"/>
        <family val="0"/>
        <charset val="1"/>
      </rPr>
      <t xml:space="preserve">6</t>
    </r>
    <r>
      <rPr>
        <sz val="9"/>
        <color rgb="FF5A6B7B"/>
        <rFont val="Noto Sans CJK SC"/>
        <family val="2"/>
      </rPr>
      <t xml:space="preserve">か月で、</t>
    </r>
    <r>
      <rPr>
        <sz val="9"/>
        <color rgb="FF5A6B7B"/>
        <rFont val="游ゴシック"/>
        <family val="0"/>
        <charset val="1"/>
      </rPr>
      <t xml:space="preserve">36</t>
    </r>
    <r>
      <rPr>
        <sz val="9"/>
        <color rgb="FF5A6B7B"/>
        <rFont val="Noto Sans CJK SC"/>
        <family val="2"/>
      </rPr>
      <t xml:space="preserve">か月未満で解約するとサイトは非公開になると明記されています。</t>
    </r>
  </si>
  <si>
    <r>
      <rPr>
        <sz val="9"/>
        <color rgb="FF5A6B7B"/>
        <rFont val="游ゴシック"/>
        <family val="0"/>
        <charset val="1"/>
      </rPr>
      <t xml:space="preserve">12</t>
    </r>
    <r>
      <rPr>
        <sz val="9"/>
        <color rgb="FF5A6B7B"/>
        <rFont val="Noto Sans CJK SC"/>
        <family val="2"/>
      </rPr>
      <t xml:space="preserve">ページ前後では、当方のほうが</t>
    </r>
    <r>
      <rPr>
        <sz val="9"/>
        <color rgb="FF5A6B7B"/>
        <rFont val="游ゴシック"/>
        <family val="0"/>
        <charset val="1"/>
      </rPr>
      <t xml:space="preserve">256,200</t>
    </r>
    <r>
      <rPr>
        <sz val="9"/>
        <color rgb="FF5A6B7B"/>
        <rFont val="Noto Sans CJK SC"/>
        <family val="2"/>
      </rPr>
      <t xml:space="preserve">円（月あたり</t>
    </r>
    <r>
      <rPr>
        <sz val="9"/>
        <color rgb="FF5A6B7B"/>
        <rFont val="游ゴシック"/>
        <family val="0"/>
        <charset val="1"/>
      </rPr>
      <t xml:space="preserve">7,116</t>
    </r>
    <r>
      <rPr>
        <sz val="9"/>
        <color rgb="FF5A6B7B"/>
        <rFont val="Noto Sans CJK SC"/>
        <family val="2"/>
      </rPr>
      <t xml:space="preserve">円）高くなります。この行を消していません。差の中身は、出張撮影・取材して書く原稿・修正の回数制限なし・</t>
    </r>
    <r>
      <rPr>
        <sz val="9"/>
        <color rgb="FF5A6B7B"/>
        <rFont val="游ゴシック"/>
        <family val="0"/>
        <charset val="1"/>
      </rPr>
      <t xml:space="preserve">Google</t>
    </r>
    <r>
      <rPr>
        <sz val="9"/>
        <color rgb="FF5A6B7B"/>
        <rFont val="Noto Sans CJK SC"/>
        <family val="2"/>
      </rPr>
      <t xml:space="preserve">マップの運用です。月額制の制作は、お客様がフォームに素材を入力するところから始まります。写真も文章も手元にあって更新もあまりしない方には、月額制のほうが向いています。</t>
    </r>
  </si>
  <si>
    <t xml:space="preserve">月額を止めた日に、何が残りますか</t>
  </si>
  <si>
    <t xml:space="preserve">月額制</t>
  </si>
  <si>
    <t xml:space="preserve">ドメイン（住所）</t>
  </si>
  <si>
    <r>
      <rPr>
        <sz val="9.5"/>
        <color rgb="FFB0342C"/>
        <rFont val="Noto Sans CJK SC"/>
        <family val="2"/>
      </rPr>
      <t xml:space="preserve">制作会社の名義。解約すると</t>
    </r>
    <r>
      <rPr>
        <sz val="9.5"/>
        <color rgb="FFB0342C"/>
        <rFont val="游ゴシック"/>
        <family val="0"/>
        <charset val="1"/>
      </rPr>
      <t xml:space="preserve">URL</t>
    </r>
    <r>
      <rPr>
        <sz val="9.5"/>
        <color rgb="FFB0342C"/>
        <rFont val="Noto Sans CJK SC"/>
        <family val="2"/>
      </rPr>
      <t xml:space="preserve">が死ぬ</t>
    </r>
  </si>
  <si>
    <t xml:space="preserve">初日からお客様の名義</t>
  </si>
  <si>
    <t xml:space="preserve">ソースコード（建物）</t>
  </si>
  <si>
    <t xml:space="preserve">渡されない。中を見ることもできない</t>
  </si>
  <si>
    <t xml:space="preserve">一式お渡し。他社がそのまま引き継げる</t>
  </si>
  <si>
    <t xml:space="preserve">置き場所（地盤）</t>
  </si>
  <si>
    <t xml:space="preserve">その会社のサーバーにしか置けない</t>
  </si>
  <si>
    <t xml:space="preserve">どのサーバーにも置ける形で作る</t>
  </si>
  <si>
    <t xml:space="preserve">写真と原稿（家具）</t>
  </si>
  <si>
    <t xml:space="preserve">そのサイトの中でしか使えない</t>
  </si>
  <si>
    <t xml:space="preserve">元データをお渡し。用途の制限なし</t>
  </si>
  <si>
    <t xml:space="preserve">やめたとき</t>
  </si>
  <si>
    <t xml:space="preserve">サイトが非公開になる／削除か買い取りかを選ばされる</t>
  </si>
  <si>
    <t xml:space="preserve">サイトは残る。契約は手数料なしで引き継ぐ</t>
  </si>
</sst>
</file>

<file path=xl/styles.xml><?xml version="1.0" encoding="utf-8"?>
<styleSheet xmlns="http://schemas.openxmlformats.org/spreadsheetml/2006/main">
  <numFmts count="8">
    <numFmt numFmtId="164" formatCode="General"/>
    <numFmt numFmtId="165" formatCode="#,##0\円"/>
    <numFmt numFmtId="166" formatCode="#,##0"/>
    <numFmt numFmtId="167" formatCode="0.0%"/>
    <numFmt numFmtId="168" formatCode="#,##0;\-#,##0;&quot;0 ✓&quot;"/>
    <numFmt numFmtId="169" formatCode="\+#,##0&quot;円 高い&quot;;#,##0&quot;円 安い&quot;;&quot;同額&quot;"/>
    <numFmt numFmtId="170" formatCode="0.0&quot;か月分&quot;"/>
    <numFmt numFmtId="171" formatCode="#,##0\人"/>
  </numFmts>
  <fonts count="45">
    <font>
      <sz val="11"/>
      <color theme="1"/>
      <name val="Calibri"/>
      <family val="2"/>
      <charset val="1"/>
    </font>
    <font>
      <sz val="10"/>
      <name val="Arial"/>
      <family val="0"/>
    </font>
    <font>
      <sz val="10"/>
      <name val="Arial"/>
      <family val="0"/>
    </font>
    <font>
      <sz val="10"/>
      <name val="Arial"/>
      <family val="0"/>
    </font>
    <font>
      <b val="true"/>
      <sz val="15"/>
      <color rgb="FF1F3049"/>
      <name val="Noto Sans CJK SC"/>
      <family val="2"/>
    </font>
    <font>
      <sz val="9.5"/>
      <color rgb="FF5A6B7B"/>
      <name val="Noto Sans CJK SC"/>
      <family val="2"/>
    </font>
    <font>
      <sz val="9.5"/>
      <color rgb="FF5A6B7B"/>
      <name val="游ゴシック"/>
      <family val="0"/>
      <charset val="1"/>
    </font>
    <font>
      <b val="true"/>
      <sz val="10"/>
      <color rgb="FFFFFFFF"/>
      <name val="游ゴシック"/>
      <family val="0"/>
      <charset val="1"/>
    </font>
    <font>
      <b val="true"/>
      <sz val="10"/>
      <color rgb="FFFFFFFF"/>
      <name val="Noto Sans CJK SC"/>
      <family val="2"/>
    </font>
    <font>
      <b val="true"/>
      <sz val="9"/>
      <color rgb="FF5A6B7B"/>
      <name val="Noto Sans CJK SC"/>
      <family val="2"/>
    </font>
    <font>
      <b val="true"/>
      <sz val="10"/>
      <color rgb="FF111C29"/>
      <name val="Noto Sans CJK SC"/>
      <family val="2"/>
    </font>
    <font>
      <sz val="9.5"/>
      <color rgb="FF111C29"/>
      <name val="Noto Sans CJK SC"/>
      <family val="2"/>
    </font>
    <font>
      <sz val="9.5"/>
      <color rgb="FF0000FF"/>
      <name val="Noto Sans CJK SC"/>
      <family val="2"/>
    </font>
    <font>
      <sz val="9.5"/>
      <color rgb="FF111C29"/>
      <name val="游ゴシック"/>
      <family val="0"/>
      <charset val="1"/>
    </font>
    <font>
      <b val="true"/>
      <sz val="10"/>
      <color rgb="FF111C29"/>
      <name val="游ゴシック"/>
      <family val="0"/>
      <charset val="1"/>
    </font>
    <font>
      <sz val="9.5"/>
      <color rgb="FF0E7A45"/>
      <name val="Noto Sans CJK SC"/>
      <family val="2"/>
    </font>
    <font>
      <sz val="10"/>
      <color rgb="FF0000FF"/>
      <name val="游ゴシック"/>
      <family val="0"/>
      <charset val="1"/>
    </font>
    <font>
      <sz val="10"/>
      <color rgb="FF111C29"/>
      <name val="Noto Sans CJK SC"/>
      <family val="2"/>
    </font>
    <font>
      <sz val="10"/>
      <color rgb="FF111C29"/>
      <name val="游ゴシック"/>
      <family val="0"/>
      <charset val="1"/>
    </font>
    <font>
      <sz val="10"/>
      <color rgb="FF5A6B7B"/>
      <name val="游ゴシック"/>
      <family val="0"/>
      <charset val="1"/>
    </font>
    <font>
      <sz val="10"/>
      <color rgb="FFB0342C"/>
      <name val="游ゴシック"/>
      <family val="0"/>
      <charset val="1"/>
    </font>
    <font>
      <sz val="9"/>
      <color rgb="FF5A6B7B"/>
      <name val="Noto Sans CJK SC"/>
      <family val="2"/>
    </font>
    <font>
      <sz val="9"/>
      <color rgb="FF5A6B7B"/>
      <name val="游ゴシック"/>
      <family val="0"/>
      <charset val="1"/>
    </font>
    <font>
      <b val="true"/>
      <sz val="10"/>
      <color rgb="FF1F3049"/>
      <name val="Noto Sans CJK SC"/>
      <family val="2"/>
    </font>
    <font>
      <b val="true"/>
      <sz val="10"/>
      <color rgb="FF0000FF"/>
      <name val="游ゴシック"/>
      <family val="0"/>
      <charset val="1"/>
    </font>
    <font>
      <b val="true"/>
      <sz val="10"/>
      <color rgb="FF1F3049"/>
      <name val="游ゴシック"/>
      <family val="0"/>
      <charset val="1"/>
    </font>
    <font>
      <sz val="9"/>
      <color rgb="FF111C29"/>
      <name val="Noto Sans CJK SC"/>
      <family val="2"/>
    </font>
    <font>
      <sz val="9"/>
      <color rgb="FF111C29"/>
      <name val="游ゴシック"/>
      <family val="0"/>
      <charset val="1"/>
    </font>
    <font>
      <sz val="10"/>
      <color rgb="FF0E7A45"/>
      <name val="游ゴシック"/>
      <family val="0"/>
      <charset val="1"/>
    </font>
    <font>
      <sz val="10"/>
      <name val="Noto Sans CJK SC"/>
      <family val="2"/>
    </font>
    <font>
      <sz val="10"/>
      <name val="Arial"/>
      <family val="2"/>
    </font>
    <font>
      <b val="true"/>
      <sz val="10"/>
      <color rgb="FF0E7A45"/>
      <name val="游ゴシック"/>
      <family val="0"/>
      <charset val="1"/>
    </font>
    <font>
      <b val="true"/>
      <sz val="10"/>
      <color rgb="FF0E7A45"/>
      <name val="Noto Sans CJK SC"/>
      <family val="2"/>
    </font>
    <font>
      <sz val="9"/>
      <color rgb="FF0E7A45"/>
      <name val="Noto Sans CJK SC"/>
      <family val="2"/>
    </font>
    <font>
      <b val="true"/>
      <sz val="15"/>
      <color rgb="FF1F3049"/>
      <name val="游ゴシック"/>
      <family val="0"/>
      <charset val="1"/>
    </font>
    <font>
      <b val="true"/>
      <sz val="10"/>
      <color rgb="FFB0342C"/>
      <name val="游ゴシック"/>
      <family val="0"/>
      <charset val="1"/>
    </font>
    <font>
      <b val="true"/>
      <sz val="9"/>
      <color rgb="FF1F3049"/>
      <name val="Noto Sans CJK SC"/>
      <family val="2"/>
    </font>
    <font>
      <b val="true"/>
      <sz val="9.5"/>
      <color rgb="FF111C29"/>
      <name val="Noto Sans CJK SC"/>
      <family val="2"/>
    </font>
    <font>
      <b val="true"/>
      <sz val="9.5"/>
      <color rgb="FF111C29"/>
      <name val="游ゴシック"/>
      <family val="0"/>
      <charset val="1"/>
    </font>
    <font>
      <b val="true"/>
      <sz val="10"/>
      <color rgb="FFB0342C"/>
      <name val="Noto Sans CJK SC"/>
      <family val="2"/>
    </font>
    <font>
      <sz val="10"/>
      <color rgb="FF5A6B7B"/>
      <name val="Noto Sans CJK SC"/>
      <family val="2"/>
    </font>
    <font>
      <sz val="9"/>
      <color rgb="FFB0342C"/>
      <name val="Noto Sans CJK SC"/>
      <family val="2"/>
    </font>
    <font>
      <sz val="9"/>
      <color rgb="FFB0342C"/>
      <name val="游ゴシック"/>
      <family val="0"/>
      <charset val="1"/>
    </font>
    <font>
      <sz val="9.5"/>
      <color rgb="FFB0342C"/>
      <name val="Noto Sans CJK SC"/>
      <family val="2"/>
    </font>
    <font>
      <sz val="9.5"/>
      <color rgb="FFB0342C"/>
      <name val="游ゴシック"/>
      <family val="0"/>
      <charset val="1"/>
    </font>
  </fonts>
  <fills count="6">
    <fill>
      <patternFill patternType="none"/>
    </fill>
    <fill>
      <patternFill patternType="gray125"/>
    </fill>
    <fill>
      <patternFill patternType="solid">
        <fgColor rgb="FF1F3049"/>
        <bgColor rgb="FF003366"/>
      </patternFill>
    </fill>
    <fill>
      <patternFill patternType="solid">
        <fgColor rgb="FFFFF8DC"/>
        <bgColor rgb="FFFFFDF0"/>
      </patternFill>
    </fill>
    <fill>
      <patternFill patternType="solid">
        <fgColor rgb="FFEEF3F7"/>
        <bgColor rgb="FFFFFDF0"/>
      </patternFill>
    </fill>
    <fill>
      <patternFill patternType="solid">
        <fgColor rgb="FFFFFDF0"/>
        <bgColor rgb="FFFFFFFF"/>
      </patternFill>
    </fill>
  </fills>
  <borders count="2">
    <border diagonalUp="false" diagonalDown="false">
      <left/>
      <right/>
      <top/>
      <bottom/>
      <diagonal/>
    </border>
    <border diagonalUp="false" diagonalDown="false">
      <left style="thin">
        <color rgb="FFC9D4DE"/>
      </left>
      <right style="thin">
        <color rgb="FFC9D4DE"/>
      </right>
      <top style="thin">
        <color rgb="FFC9D4DE"/>
      </top>
      <bottom style="thin">
        <color rgb="FFC9D4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4" fontId="11" fillId="0" borderId="1" xfId="0" applyFont="true" applyBorder="true" applyAlignment="true" applyProtection="false">
      <alignment horizontal="left" vertical="center" textRotation="0" wrapText="tru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10" fillId="4" borderId="1" xfId="0" applyFont="true" applyBorder="true" applyAlignment="true" applyProtection="false">
      <alignment horizontal="left" vertical="center" textRotation="0" wrapText="false" indent="0" shrinkToFit="false"/>
      <protection locked="true" hidden="false"/>
    </xf>
    <xf numFmtId="164" fontId="17" fillId="0" borderId="1" xfId="0" applyFont="true" applyBorder="true" applyAlignment="true" applyProtection="false">
      <alignment horizontal="left"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22" fillId="0" borderId="1" xfId="0" applyFont="true" applyBorder="true" applyAlignment="true" applyProtection="false">
      <alignment horizontal="left" vertical="center" textRotation="0" wrapText="true" indent="0" shrinkToFit="false"/>
      <protection locked="true" hidden="false"/>
    </xf>
    <xf numFmtId="164" fontId="18" fillId="0" borderId="1" xfId="0" applyFont="true" applyBorder="true" applyAlignment="true" applyProtection="false">
      <alignment horizontal="left" vertical="center"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23" fillId="4" borderId="1" xfId="0" applyFont="true" applyBorder="true" applyAlignment="true" applyProtection="false">
      <alignment horizontal="left" vertical="center" textRotation="0" wrapText="false" indent="0" shrinkToFit="false"/>
      <protection locked="true" hidden="false"/>
    </xf>
    <xf numFmtId="164" fontId="18" fillId="4" borderId="1" xfId="0" applyFont="true" applyBorder="true" applyAlignment="true" applyProtection="false">
      <alignment horizontal="left" vertical="center" textRotation="0" wrapText="false" indent="0" shrinkToFit="false"/>
      <protection locked="true" hidden="false"/>
    </xf>
    <xf numFmtId="165" fontId="24" fillId="3" borderId="1" xfId="0" applyFont="true" applyBorder="true" applyAlignment="true" applyProtection="false">
      <alignment horizontal="right" vertical="center" textRotation="0" wrapText="false" indent="0" shrinkToFit="false"/>
      <protection locked="true" hidden="false"/>
    </xf>
    <xf numFmtId="164" fontId="21" fillId="0" borderId="1" xfId="0" applyFont="true" applyBorder="true" applyAlignment="true" applyProtection="false">
      <alignment horizontal="center" vertical="center" textRotation="0" wrapText="false" indent="0" shrinkToFit="false"/>
      <protection locked="true" hidden="false"/>
    </xf>
    <xf numFmtId="166" fontId="24" fillId="3" borderId="1" xfId="0" applyFont="true" applyBorder="true" applyAlignment="true" applyProtection="false">
      <alignment horizontal="right" vertical="center" textRotation="0" wrapText="false" indent="0" shrinkToFit="false"/>
      <protection locked="true" hidden="false"/>
    </xf>
    <xf numFmtId="167" fontId="24" fillId="3" borderId="1" xfId="0" applyFont="true" applyBorder="true" applyAlignment="true" applyProtection="false">
      <alignment horizontal="right" vertical="center" textRotation="0" wrapText="false" indent="0" shrinkToFit="false"/>
      <protection locked="true" hidden="false"/>
    </xf>
    <xf numFmtId="164" fontId="22" fillId="0" borderId="1" xfId="0" applyFont="true" applyBorder="true" applyAlignment="true" applyProtection="false">
      <alignment horizontal="center" vertical="center" textRotation="0" wrapText="false" indent="0" shrinkToFit="false"/>
      <protection locked="true" hidden="false"/>
    </xf>
    <xf numFmtId="166" fontId="18" fillId="0"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right"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5" fontId="19" fillId="0" borderId="1" xfId="0" applyFont="true" applyBorder="true" applyAlignment="true" applyProtection="false">
      <alignment horizontal="right" vertical="center" textRotation="0" wrapText="false" indent="0" shrinkToFit="false"/>
      <protection locked="true" hidden="false"/>
    </xf>
    <xf numFmtId="164" fontId="26" fillId="0" borderId="1" xfId="0" applyFont="true" applyBorder="true" applyAlignment="true" applyProtection="false">
      <alignment horizontal="left" vertical="center" textRotation="0" wrapText="true" indent="0" shrinkToFit="false"/>
      <protection locked="true" hidden="false"/>
    </xf>
    <xf numFmtId="165" fontId="18" fillId="0" borderId="1" xfId="0" applyFont="true" applyBorder="true" applyAlignment="true" applyProtection="false">
      <alignment horizontal="right" vertical="center" textRotation="0" wrapText="false" indent="0" shrinkToFit="false"/>
      <protection locked="true" hidden="false"/>
    </xf>
    <xf numFmtId="168" fontId="28" fillId="0" borderId="1" xfId="0" applyFont="true" applyBorder="true" applyAlignment="true" applyProtection="false">
      <alignment horizontal="right" vertical="center" textRotation="0" wrapText="false" indent="0" shrinkToFit="false"/>
      <protection locked="true" hidden="false"/>
    </xf>
    <xf numFmtId="164" fontId="10" fillId="5" borderId="1" xfId="0" applyFont="true" applyBorder="true" applyAlignment="true" applyProtection="false">
      <alignment horizontal="left" vertical="center" textRotation="0" wrapText="false" indent="0" shrinkToFit="false"/>
      <protection locked="true" hidden="false"/>
    </xf>
    <xf numFmtId="166" fontId="18" fillId="5" borderId="1" xfId="0" applyFont="true" applyBorder="true" applyAlignment="true" applyProtection="false">
      <alignment horizontal="center" vertical="center" textRotation="0" wrapText="false" indent="0" shrinkToFit="false"/>
      <protection locked="true" hidden="false"/>
    </xf>
    <xf numFmtId="165" fontId="14" fillId="5" borderId="1" xfId="0" applyFont="true" applyBorder="true" applyAlignment="true" applyProtection="false">
      <alignment horizontal="right" vertical="center" textRotation="0" wrapText="false" indent="0" shrinkToFit="false"/>
      <protection locked="true" hidden="false"/>
    </xf>
    <xf numFmtId="165" fontId="18" fillId="5" borderId="1" xfId="0" applyFont="true" applyBorder="true" applyAlignment="true" applyProtection="false">
      <alignment horizontal="right" vertical="center" textRotation="0" wrapText="false" indent="0" shrinkToFit="false"/>
      <protection locked="true" hidden="false"/>
    </xf>
    <xf numFmtId="168" fontId="28" fillId="5" borderId="1" xfId="0" applyFont="true" applyBorder="true" applyAlignment="true" applyProtection="false">
      <alignment horizontal="right" vertical="center" textRotation="0" wrapText="false" indent="0" shrinkToFit="false"/>
      <protection locked="true" hidden="false"/>
    </xf>
    <xf numFmtId="164" fontId="26" fillId="5" borderId="1" xfId="0" applyFont="true" applyBorder="true" applyAlignment="true" applyProtection="false">
      <alignment horizontal="left" vertical="center" textRotation="0" wrapText="true" indent="0" shrinkToFit="false"/>
      <protection locked="true" hidden="false"/>
    </xf>
    <xf numFmtId="164" fontId="27" fillId="0" borderId="1" xfId="0" applyFont="true" applyBorder="true" applyAlignment="true" applyProtection="false">
      <alignment horizontal="left" vertical="center" textRotation="0" wrapText="true" indent="0" shrinkToFit="false"/>
      <protection locked="true" hidden="false"/>
    </xf>
    <xf numFmtId="165" fontId="19" fillId="5" borderId="1" xfId="0" applyFont="true" applyBorder="true" applyAlignment="true" applyProtection="false">
      <alignment horizontal="right" vertical="center" textRotation="0" wrapText="false" indent="0" shrinkToFit="false"/>
      <protection locked="true" hidden="false"/>
    </xf>
    <xf numFmtId="164" fontId="27" fillId="5"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31" fillId="0" borderId="1" xfId="0" applyFont="true" applyBorder="true" applyAlignment="true" applyProtection="false">
      <alignment horizontal="center" vertical="center" textRotation="0" wrapText="false" indent="0" shrinkToFit="false"/>
      <protection locked="true" hidden="false"/>
    </xf>
    <xf numFmtId="164" fontId="14" fillId="0" borderId="1" xfId="0" applyFont="true" applyBorder="true" applyAlignment="true" applyProtection="false">
      <alignment horizontal="left" vertical="center" textRotation="0" wrapText="true" indent="0" shrinkToFit="false"/>
      <protection locked="true" hidden="false"/>
    </xf>
    <xf numFmtId="164" fontId="17" fillId="0" borderId="1" xfId="0" applyFont="true" applyBorder="true" applyAlignment="true" applyProtection="false">
      <alignment horizontal="left" vertical="center" textRotation="0" wrapText="false" indent="0" shrinkToFit="false"/>
      <protection locked="true" hidden="false"/>
    </xf>
    <xf numFmtId="164" fontId="18" fillId="0" borderId="1" xfId="0" applyFont="true" applyBorder="true" applyAlignment="true" applyProtection="false">
      <alignment horizontal="right" vertical="center" textRotation="0" wrapText="false" indent="0" shrinkToFit="false"/>
      <protection locked="true" hidden="false"/>
    </xf>
    <xf numFmtId="164" fontId="33" fillId="0" borderId="1" xfId="0" applyFont="true" applyBorder="true" applyAlignment="true" applyProtection="false">
      <alignment horizontal="left" vertical="center" textRotation="0" wrapText="false" indent="0" shrinkToFit="false"/>
      <protection locked="true" hidden="false"/>
    </xf>
    <xf numFmtId="164" fontId="17" fillId="0" borderId="1" xfId="0" applyFont="true" applyBorder="true" applyAlignment="true" applyProtection="false">
      <alignment horizontal="right" vertical="center" textRotation="0" wrapText="false" indent="0" shrinkToFit="false"/>
      <protection locked="true" hidden="false"/>
    </xf>
    <xf numFmtId="169" fontId="31" fillId="0" borderId="1" xfId="0" applyFont="true" applyBorder="true" applyAlignment="true" applyProtection="false">
      <alignment horizontal="right" vertical="center" textRotation="0" wrapText="false" indent="0" shrinkToFit="false"/>
      <protection locked="true" hidden="false"/>
    </xf>
    <xf numFmtId="169" fontId="35" fillId="0" borderId="1" xfId="0" applyFont="true" applyBorder="true" applyAlignment="true" applyProtection="false">
      <alignment horizontal="right"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70" fontId="25" fillId="0" borderId="1" xfId="0" applyFont="true" applyBorder="true" applyAlignment="true" applyProtection="false">
      <alignment horizontal="right" vertical="center" textRotation="0" wrapText="false" indent="0" shrinkToFit="false"/>
      <protection locked="true" hidden="false"/>
    </xf>
    <xf numFmtId="164" fontId="21" fillId="0" borderId="1" xfId="0" applyFont="true" applyBorder="true" applyAlignment="true" applyProtection="false">
      <alignment horizontal="left" vertical="center" textRotation="0" wrapText="false" indent="0" shrinkToFit="false"/>
      <protection locked="true" hidden="false"/>
    </xf>
    <xf numFmtId="165" fontId="16" fillId="3" borderId="1" xfId="0" applyFont="true" applyBorder="true" applyAlignment="true" applyProtection="false">
      <alignment horizontal="right" vertical="center" textRotation="0" wrapText="false" indent="0" shrinkToFit="false"/>
      <protection locked="true" hidden="false"/>
    </xf>
    <xf numFmtId="164" fontId="27" fillId="0" borderId="1" xfId="0" applyFont="true" applyBorder="true" applyAlignment="true" applyProtection="false">
      <alignment horizontal="left" vertical="center" textRotation="0" wrapText="false" indent="0" shrinkToFit="false"/>
      <protection locked="true" hidden="false"/>
    </xf>
    <xf numFmtId="165" fontId="14" fillId="4" borderId="1" xfId="0" applyFont="true" applyBorder="true" applyAlignment="true" applyProtection="false">
      <alignment horizontal="right" vertical="center" textRotation="0" wrapText="false" indent="0" shrinkToFit="false"/>
      <protection locked="true" hidden="false"/>
    </xf>
    <xf numFmtId="165" fontId="31" fillId="4" borderId="1" xfId="0" applyFont="true" applyBorder="true" applyAlignment="true" applyProtection="false">
      <alignment horizontal="right" vertical="center" textRotation="0" wrapText="false" indent="0" shrinkToFit="false"/>
      <protection locked="true" hidden="false"/>
    </xf>
    <xf numFmtId="164" fontId="21" fillId="4" borderId="1" xfId="0" applyFont="true" applyBorder="true" applyAlignment="true" applyProtection="false">
      <alignment horizontal="left" vertical="center" textRotation="0" wrapText="true" indent="0" shrinkToFit="false"/>
      <protection locked="true" hidden="false"/>
    </xf>
    <xf numFmtId="165" fontId="25" fillId="4" borderId="1" xfId="0" applyFont="true" applyBorder="true" applyAlignment="true" applyProtection="false">
      <alignment horizontal="right" vertical="center" textRotation="0" wrapText="false" indent="0" shrinkToFit="false"/>
      <protection locked="true" hidden="false"/>
    </xf>
    <xf numFmtId="164" fontId="17" fillId="0" borderId="1" xfId="0" applyFont="true" applyBorder="true" applyAlignment="true" applyProtection="false">
      <alignment horizontal="center" vertical="center" textRotation="0" wrapText="false" indent="0" shrinkToFit="false"/>
      <protection locked="true" hidden="false"/>
    </xf>
    <xf numFmtId="171" fontId="25" fillId="0" borderId="1" xfId="0" applyFont="true" applyBorder="true" applyAlignment="true" applyProtection="false">
      <alignment horizontal="right" vertical="center" textRotation="0" wrapText="false" indent="0" shrinkToFit="false"/>
      <protection locked="true" hidden="false"/>
    </xf>
    <xf numFmtId="165" fontId="25" fillId="0" borderId="1" xfId="0" applyFont="true" applyBorder="true" applyAlignment="true" applyProtection="false">
      <alignment horizontal="right" vertical="center" textRotation="0" wrapText="false" indent="0" shrinkToFit="false"/>
      <protection locked="true" hidden="false"/>
    </xf>
    <xf numFmtId="164" fontId="14" fillId="4" borderId="1" xfId="0" applyFont="true" applyBorder="true" applyAlignment="true" applyProtection="false">
      <alignment horizontal="center" vertical="center" textRotation="0" wrapText="false" indent="0" shrinkToFit="false"/>
      <protection locked="true" hidden="false"/>
    </xf>
    <xf numFmtId="164" fontId="36" fillId="4" borderId="1" xfId="0" applyFont="true" applyBorder="true" applyAlignment="true" applyProtection="false">
      <alignment horizontal="center" vertical="center" textRotation="0" wrapText="false" indent="0" shrinkToFit="false"/>
      <protection locked="true" hidden="false"/>
    </xf>
    <xf numFmtId="164" fontId="37" fillId="0" borderId="1" xfId="0" applyFont="true" applyBorder="true" applyAlignment="true" applyProtection="false">
      <alignment horizontal="left" vertical="center" textRotation="0" wrapText="true" indent="0" shrinkToFit="false"/>
      <protection locked="true" hidden="false"/>
    </xf>
    <xf numFmtId="164" fontId="38" fillId="0" borderId="1" xfId="0" applyFont="true" applyBorder="true" applyAlignment="true" applyProtection="false">
      <alignment horizontal="left" vertical="center" textRotation="0" wrapText="tru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4" fontId="35" fillId="0" borderId="1" xfId="0" applyFont="true" applyBorder="true" applyAlignment="true" applyProtection="false">
      <alignment horizontal="left" vertical="center" textRotation="0" wrapText="true" indent="0" shrinkToFit="false"/>
      <protection locked="true" hidden="false"/>
    </xf>
    <xf numFmtId="164" fontId="39" fillId="0" borderId="1" xfId="0" applyFont="true" applyBorder="true" applyAlignment="true" applyProtection="false">
      <alignment horizontal="left"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41"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64" fontId="18" fillId="5" borderId="1" xfId="0" applyFont="true" applyBorder="true" applyAlignment="true" applyProtection="false">
      <alignment horizontal="center" vertical="center" textRotation="0" wrapText="false" indent="0" shrinkToFit="false"/>
      <protection locked="true" hidden="false"/>
    </xf>
    <xf numFmtId="164" fontId="18" fillId="5" borderId="1" xfId="0" applyFont="true" applyBorder="true" applyAlignment="true" applyProtection="false">
      <alignment horizontal="left" vertical="center" textRotation="0" wrapText="false" indent="0" shrinkToFit="false"/>
      <protection locked="true" hidden="false"/>
    </xf>
    <xf numFmtId="164" fontId="14" fillId="0" borderId="1" xfId="0" applyFont="true" applyBorder="true" applyAlignment="true" applyProtection="false">
      <alignment horizontal="left" vertical="center" textRotation="0" wrapText="false" indent="0" shrinkToFit="false"/>
      <protection locked="true" hidden="false"/>
    </xf>
    <xf numFmtId="164" fontId="35" fillId="0" borderId="1"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4" fontId="43" fillId="0" borderId="1" xfId="0" applyFont="true" applyBorder="true" applyAlignment="true" applyProtection="false">
      <alignment horizontal="left" vertical="center" textRotation="0" wrapText="true" indent="0" shrinkToFit="false"/>
      <protection locked="true" hidden="false"/>
    </xf>
    <xf numFmtId="164" fontId="15" fillId="0"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B8860B"/>
      <rgbColor rgb="FF800080"/>
      <rgbColor rgb="FF0E7A45"/>
      <rgbColor rgb="FFC0C0C0"/>
      <rgbColor rgb="FF808080"/>
      <rgbColor rgb="FF9999FF"/>
      <rgbColor rgb="FF993366"/>
      <rgbColor rgb="FFFFF8DC"/>
      <rgbColor rgb="FFEEF3F7"/>
      <rgbColor rgb="FF660066"/>
      <rgbColor rgb="FFFF8080"/>
      <rgbColor rgb="FF0066CC"/>
      <rgbColor rgb="FFC9D4DE"/>
      <rgbColor rgb="FF000080"/>
      <rgbColor rgb="FFFF00FF"/>
      <rgbColor rgb="FFFFFF00"/>
      <rgbColor rgb="FF00FFFF"/>
      <rgbColor rgb="FF800080"/>
      <rgbColor rgb="FF800000"/>
      <rgbColor rgb="FF008080"/>
      <rgbColor rgb="FF0000FF"/>
      <rgbColor rgb="FF00CCFF"/>
      <rgbColor rgb="FFFFFDF0"/>
      <rgbColor rgb="FFCCFFCC"/>
      <rgbColor rgb="FFFFFF99"/>
      <rgbColor rgb="FF99CCFF"/>
      <rgbColor rgb="FFFF99CC"/>
      <rgbColor rgb="FFCC99FF"/>
      <rgbColor rgb="FFFFCC99"/>
      <rgbColor rgb="FF3366FF"/>
      <rgbColor rgb="FF33CCCC"/>
      <rgbColor rgb="FF99CC00"/>
      <rgbColor rgb="FFFFCC00"/>
      <rgbColor rgb="FFFF9900"/>
      <rgbColor rgb="FFFF6600"/>
      <rgbColor rgb="FF5A6B7B"/>
      <rgbColor rgb="FF969696"/>
      <rgbColor rgb="FF003366"/>
      <rgbColor rgb="FF339966"/>
      <rgbColor rgb="FF111C29"/>
      <rgbColor rgb="FF333300"/>
      <rgbColor rgb="FFB0342C"/>
      <rgbColor rgb="FF993366"/>
      <rgbColor rgb="FF333399"/>
      <rgbColor rgb="FF1F304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D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62"/>
    <col collapsed="false" customWidth="true" hidden="false" outlineLevel="0" max="4" min="4" style="0" width="20"/>
  </cols>
  <sheetData>
    <row r="2" customFormat="false" ht="24" hidden="false" customHeight="true" outlineLevel="0" collapsed="false">
      <c r="A2" s="1" t="s">
        <v>0</v>
      </c>
    </row>
    <row r="3" customFormat="false" ht="15" hidden="false" customHeight="true" outlineLevel="0" collapsed="false">
      <c r="A3" s="2" t="s">
        <v>1</v>
      </c>
    </row>
    <row r="5" customFormat="false" ht="30" hidden="false" customHeight="true" outlineLevel="0" collapsed="false">
      <c r="A5" s="3"/>
      <c r="B5" s="4" t="s">
        <v>2</v>
      </c>
      <c r="C5" s="4" t="s">
        <v>3</v>
      </c>
      <c r="D5" s="4" t="s">
        <v>4</v>
      </c>
    </row>
    <row r="6" customFormat="false" ht="27.75" hidden="false" customHeight="true" outlineLevel="0" collapsed="false">
      <c r="A6" s="5" t="s">
        <v>5</v>
      </c>
      <c r="B6" s="6" t="s">
        <v>6</v>
      </c>
      <c r="C6" s="7" t="s">
        <v>7</v>
      </c>
      <c r="D6" s="8" t="s">
        <v>8</v>
      </c>
    </row>
    <row r="7" customFormat="false" ht="27.75" hidden="false" customHeight="true" outlineLevel="0" collapsed="false">
      <c r="A7" s="5"/>
      <c r="B7" s="6" t="s">
        <v>9</v>
      </c>
      <c r="C7" s="9" t="s">
        <v>10</v>
      </c>
      <c r="D7" s="10" t="s">
        <v>11</v>
      </c>
    </row>
    <row r="8" customFormat="false" ht="27.75" hidden="false" customHeight="true" outlineLevel="0" collapsed="false">
      <c r="A8" s="5"/>
      <c r="B8" s="6" t="s">
        <v>12</v>
      </c>
      <c r="C8" s="9" t="s">
        <v>13</v>
      </c>
      <c r="D8" s="10" t="s">
        <v>11</v>
      </c>
    </row>
    <row r="9" customFormat="false" ht="27.75" hidden="false" customHeight="true" outlineLevel="0" collapsed="false">
      <c r="A9" s="5"/>
      <c r="B9" s="6" t="s">
        <v>14</v>
      </c>
      <c r="C9" s="7" t="s">
        <v>15</v>
      </c>
      <c r="D9" s="11" t="s">
        <v>16</v>
      </c>
    </row>
    <row r="10" customFormat="false" ht="27.75" hidden="false" customHeight="true" outlineLevel="0" collapsed="false">
      <c r="A10" s="5"/>
      <c r="B10" s="6" t="s">
        <v>17</v>
      </c>
      <c r="C10" s="7" t="s">
        <v>18</v>
      </c>
      <c r="D10" s="11" t="s">
        <v>16</v>
      </c>
    </row>
    <row r="11" customFormat="false" ht="27.75" hidden="false" customHeight="true" outlineLevel="0" collapsed="false">
      <c r="A11" s="5"/>
      <c r="B11" s="6" t="s">
        <v>19</v>
      </c>
      <c r="C11" s="9" t="s">
        <v>20</v>
      </c>
      <c r="D11" s="10" t="s">
        <v>11</v>
      </c>
    </row>
    <row r="12" customFormat="false" ht="27.75" hidden="false" customHeight="true" outlineLevel="0" collapsed="false">
      <c r="A12" s="5"/>
      <c r="B12" s="6" t="s">
        <v>21</v>
      </c>
      <c r="C12" s="7" t="s">
        <v>22</v>
      </c>
      <c r="D12" s="10" t="s">
        <v>11</v>
      </c>
    </row>
    <row r="13" customFormat="false" ht="27.75" hidden="false" customHeight="true" outlineLevel="0" collapsed="false">
      <c r="A13" s="5"/>
      <c r="B13" s="6" t="s">
        <v>23</v>
      </c>
      <c r="C13" s="7" t="s">
        <v>24</v>
      </c>
      <c r="D13" s="10" t="s">
        <v>11</v>
      </c>
    </row>
    <row r="14" customFormat="false" ht="27.75" hidden="false" customHeight="true" outlineLevel="0" collapsed="false">
      <c r="A14" s="5" t="s">
        <v>25</v>
      </c>
      <c r="B14" s="6" t="s">
        <v>26</v>
      </c>
      <c r="C14" s="7" t="s">
        <v>27</v>
      </c>
      <c r="D14" s="11" t="s">
        <v>16</v>
      </c>
    </row>
    <row r="15" customFormat="false" ht="27.75" hidden="false" customHeight="true" outlineLevel="0" collapsed="false">
      <c r="A15" s="5"/>
      <c r="B15" s="6" t="s">
        <v>28</v>
      </c>
      <c r="C15" s="7" t="s">
        <v>29</v>
      </c>
      <c r="D15" s="11" t="s">
        <v>16</v>
      </c>
    </row>
    <row r="16" customFormat="false" ht="27.75" hidden="false" customHeight="true" outlineLevel="0" collapsed="false">
      <c r="A16" s="5"/>
      <c r="B16" s="6" t="s">
        <v>30</v>
      </c>
      <c r="C16" s="9" t="s">
        <v>31</v>
      </c>
      <c r="D16" s="11" t="s">
        <v>16</v>
      </c>
    </row>
    <row r="17" customFormat="false" ht="27.75" hidden="false" customHeight="true" outlineLevel="0" collapsed="false">
      <c r="A17" s="5"/>
      <c r="B17" s="6" t="s">
        <v>32</v>
      </c>
      <c r="C17" s="7" t="s">
        <v>33</v>
      </c>
      <c r="D17" s="11" t="s">
        <v>16</v>
      </c>
    </row>
    <row r="18" customFormat="false" ht="27.75" hidden="false" customHeight="true" outlineLevel="0" collapsed="false">
      <c r="A18" s="5"/>
      <c r="B18" s="6" t="s">
        <v>34</v>
      </c>
      <c r="C18" s="7" t="s">
        <v>35</v>
      </c>
      <c r="D18" s="11" t="s">
        <v>16</v>
      </c>
    </row>
    <row r="19" customFormat="false" ht="27.75" hidden="false" customHeight="true" outlineLevel="0" collapsed="false">
      <c r="A19" s="5" t="s">
        <v>36</v>
      </c>
      <c r="B19" s="6" t="s">
        <v>37</v>
      </c>
      <c r="C19" s="7" t="s">
        <v>38</v>
      </c>
      <c r="D19" s="12" t="s">
        <v>39</v>
      </c>
    </row>
    <row r="20" customFormat="false" ht="27.75" hidden="false" customHeight="true" outlineLevel="0" collapsed="false">
      <c r="A20" s="5"/>
      <c r="B20" s="6" t="s">
        <v>40</v>
      </c>
      <c r="C20" s="7" t="s">
        <v>41</v>
      </c>
      <c r="D20" s="12" t="s">
        <v>39</v>
      </c>
    </row>
    <row r="22" customFormat="false" ht="24" hidden="false" customHeight="true" outlineLevel="0" collapsed="false">
      <c r="A22" s="1" t="s">
        <v>42</v>
      </c>
    </row>
    <row r="24" customFormat="false" ht="18.75" hidden="false" customHeight="true" outlineLevel="0" collapsed="false">
      <c r="B24" s="13" t="s">
        <v>43</v>
      </c>
      <c r="C24" s="14" t="s">
        <v>44</v>
      </c>
    </row>
    <row r="25" customFormat="false" ht="18.75" hidden="false" customHeight="true" outlineLevel="0" collapsed="false">
      <c r="B25" s="15" t="s">
        <v>43</v>
      </c>
      <c r="C25" s="14" t="s">
        <v>45</v>
      </c>
    </row>
    <row r="26" customFormat="false" ht="18.75" hidden="false" customHeight="true" outlineLevel="0" collapsed="false">
      <c r="B26" s="16" t="s">
        <v>43</v>
      </c>
      <c r="C26" s="14" t="s">
        <v>46</v>
      </c>
    </row>
    <row r="27" customFormat="false" ht="18.75" hidden="false" customHeight="true" outlineLevel="0" collapsed="false">
      <c r="B27" s="17" t="s">
        <v>43</v>
      </c>
      <c r="C27" s="14" t="s">
        <v>47</v>
      </c>
    </row>
    <row r="28" customFormat="false" ht="18.75" hidden="false" customHeight="true" outlineLevel="0" collapsed="false">
      <c r="B28" s="16" t="s">
        <v>43</v>
      </c>
      <c r="C28" s="15"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3" min="2" style="0" width="46"/>
  </cols>
  <sheetData>
    <row r="2" customFormat="false" ht="24" hidden="false" customHeight="true" outlineLevel="0" collapsed="false">
      <c r="A2" s="1" t="s">
        <v>34</v>
      </c>
    </row>
    <row r="3" customFormat="false" ht="15" hidden="false" customHeight="true" outlineLevel="0" collapsed="false">
      <c r="A3" s="2" t="s">
        <v>49</v>
      </c>
    </row>
    <row r="5" customFormat="false" ht="30" hidden="false" customHeight="true" outlineLevel="0" collapsed="false">
      <c r="A5" s="4" t="s">
        <v>50</v>
      </c>
      <c r="B5" s="4" t="s">
        <v>51</v>
      </c>
      <c r="C5" s="4" t="s">
        <v>52</v>
      </c>
    </row>
    <row r="6" customFormat="false" ht="30" hidden="false" customHeight="true" outlineLevel="0" collapsed="false">
      <c r="A6" s="18" t="s">
        <v>53</v>
      </c>
      <c r="B6" s="19" t="s">
        <v>54</v>
      </c>
      <c r="C6" s="20" t="s">
        <v>55</v>
      </c>
    </row>
    <row r="7" customFormat="false" ht="30" hidden="false" customHeight="true" outlineLevel="0" collapsed="false">
      <c r="A7" s="18" t="s">
        <v>56</v>
      </c>
      <c r="B7" s="19" t="s">
        <v>57</v>
      </c>
      <c r="C7" s="21" t="s">
        <v>58</v>
      </c>
    </row>
    <row r="8" customFormat="false" ht="30" hidden="false" customHeight="true" outlineLevel="0" collapsed="false">
      <c r="A8" s="18" t="s">
        <v>59</v>
      </c>
      <c r="B8" s="19" t="s">
        <v>60</v>
      </c>
      <c r="C8" s="20" t="s">
        <v>61</v>
      </c>
    </row>
    <row r="9" customFormat="false" ht="30" hidden="false" customHeight="true" outlineLevel="0" collapsed="false">
      <c r="A9" s="18" t="s">
        <v>62</v>
      </c>
      <c r="B9" s="19" t="s">
        <v>63</v>
      </c>
      <c r="C9" s="20" t="s">
        <v>64</v>
      </c>
    </row>
    <row r="10" customFormat="false" ht="30" hidden="false" customHeight="true" outlineLevel="0" collapsed="false">
      <c r="A10" s="18" t="s">
        <v>65</v>
      </c>
      <c r="B10" s="19" t="s">
        <v>66</v>
      </c>
      <c r="C10" s="20" t="s">
        <v>67</v>
      </c>
    </row>
    <row r="11" customFormat="false" ht="30" hidden="false" customHeight="true" outlineLevel="0" collapsed="false">
      <c r="A11" s="18" t="s">
        <v>68</v>
      </c>
      <c r="B11" s="19" t="s">
        <v>69</v>
      </c>
      <c r="C11" s="20" t="s">
        <v>70</v>
      </c>
    </row>
    <row r="12" customFormat="false" ht="30" hidden="false" customHeight="true" outlineLevel="0" collapsed="false">
      <c r="A12" s="18" t="s">
        <v>71</v>
      </c>
      <c r="B12" s="22" t="s">
        <v>72</v>
      </c>
      <c r="C12" s="20" t="s">
        <v>73</v>
      </c>
    </row>
    <row r="13" customFormat="false" ht="30" hidden="false" customHeight="true" outlineLevel="0" collapsed="false">
      <c r="A13" s="18" t="s">
        <v>74</v>
      </c>
      <c r="B13" s="22" t="s">
        <v>75</v>
      </c>
      <c r="C13" s="20" t="s">
        <v>76</v>
      </c>
    </row>
    <row r="14" customFormat="false" ht="30" hidden="false" customHeight="true" outlineLevel="0" collapsed="false">
      <c r="A14" s="18" t="s">
        <v>77</v>
      </c>
      <c r="B14" s="22" t="s">
        <v>78</v>
      </c>
      <c r="C14" s="20" t="s">
        <v>79</v>
      </c>
    </row>
    <row r="15" customFormat="false" ht="30" hidden="false" customHeight="true" outlineLevel="0" collapsed="false">
      <c r="A15" s="18" t="s">
        <v>80</v>
      </c>
      <c r="B15" s="22" t="s">
        <v>81</v>
      </c>
      <c r="C15" s="21" t="s">
        <v>82</v>
      </c>
    </row>
    <row r="16" customFormat="false" ht="30" hidden="false" customHeight="true" outlineLevel="0" collapsed="false">
      <c r="A16" s="18" t="s">
        <v>83</v>
      </c>
      <c r="B16" s="22" t="s">
        <v>84</v>
      </c>
      <c r="C16" s="20" t="s">
        <v>85</v>
      </c>
    </row>
    <row r="17" customFormat="false" ht="30" hidden="false" customHeight="true" outlineLevel="0" collapsed="false">
      <c r="A17" s="18" t="s">
        <v>86</v>
      </c>
      <c r="B17" s="22" t="s">
        <v>87</v>
      </c>
      <c r="C17" s="20" t="s">
        <v>88</v>
      </c>
    </row>
    <row r="18" customFormat="false" ht="30" hidden="false" customHeight="true" outlineLevel="0" collapsed="false">
      <c r="A18" s="18" t="s">
        <v>89</v>
      </c>
      <c r="B18" s="22" t="s">
        <v>90</v>
      </c>
      <c r="C18" s="20" t="s">
        <v>91</v>
      </c>
    </row>
    <row r="20" customFormat="false" ht="27.75" hidden="false" customHeight="true" outlineLevel="0" collapsed="false">
      <c r="A20" s="23" t="s">
        <v>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8860B"/>
    <pageSetUpPr fitToPage="false"/>
  </sheetPr>
  <dimension ref="A2:E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6"/>
    <col collapsed="false" customWidth="true" hidden="false" outlineLevel="0" max="4" min="4" style="0" width="14"/>
    <col collapsed="false" customWidth="true" hidden="false" outlineLevel="0" max="5" min="5" style="0" width="52"/>
  </cols>
  <sheetData>
    <row r="2" customFormat="false" ht="24" hidden="false" customHeight="true" outlineLevel="0" collapsed="false">
      <c r="A2" s="1" t="s">
        <v>93</v>
      </c>
    </row>
    <row r="3" customFormat="false" ht="15" hidden="false" customHeight="true" outlineLevel="0" collapsed="false">
      <c r="A3" s="2" t="s">
        <v>94</v>
      </c>
    </row>
    <row r="5" customFormat="false" ht="30" hidden="false" customHeight="true" outlineLevel="0" collapsed="false">
      <c r="A5" s="3"/>
      <c r="B5" s="4" t="s">
        <v>50</v>
      </c>
      <c r="C5" s="4" t="s">
        <v>95</v>
      </c>
      <c r="D5" s="4" t="s">
        <v>96</v>
      </c>
      <c r="E5" s="4" t="s">
        <v>97</v>
      </c>
    </row>
    <row r="6" customFormat="false" ht="21.75" hidden="false" customHeight="true" outlineLevel="0" collapsed="false">
      <c r="B6" s="24" t="s">
        <v>98</v>
      </c>
      <c r="C6" s="25"/>
      <c r="D6" s="25"/>
      <c r="E6" s="25"/>
    </row>
    <row r="7" customFormat="false" ht="25.5" hidden="false" customHeight="true" outlineLevel="0" collapsed="false">
      <c r="B7" s="6" t="s">
        <v>99</v>
      </c>
      <c r="C7" s="26" t="n">
        <v>39800</v>
      </c>
      <c r="D7" s="27" t="s">
        <v>100</v>
      </c>
      <c r="E7" s="21" t="s">
        <v>101</v>
      </c>
    </row>
    <row r="8" customFormat="false" ht="25.5" hidden="false" customHeight="true" outlineLevel="0" collapsed="false">
      <c r="B8" s="6" t="s">
        <v>102</v>
      </c>
      <c r="C8" s="26" t="n">
        <v>198000</v>
      </c>
      <c r="D8" s="27" t="s">
        <v>100</v>
      </c>
      <c r="E8" s="20" t="s">
        <v>103</v>
      </c>
    </row>
    <row r="9" customFormat="false" ht="25.5" hidden="false" customHeight="true" outlineLevel="0" collapsed="false">
      <c r="B9" s="6" t="s">
        <v>104</v>
      </c>
      <c r="C9" s="26" t="n">
        <v>398000</v>
      </c>
      <c r="D9" s="27" t="s">
        <v>100</v>
      </c>
      <c r="E9" s="20" t="s">
        <v>105</v>
      </c>
    </row>
    <row r="10" customFormat="false" ht="25.5" hidden="false" customHeight="true" outlineLevel="0" collapsed="false">
      <c r="B10" s="6" t="s">
        <v>106</v>
      </c>
      <c r="C10" s="26" t="n">
        <v>698000</v>
      </c>
      <c r="D10" s="27" t="s">
        <v>100</v>
      </c>
      <c r="E10" s="20" t="s">
        <v>107</v>
      </c>
    </row>
    <row r="11" customFormat="false" ht="21.75" hidden="false" customHeight="true" outlineLevel="0" collapsed="false">
      <c r="B11" s="24" t="s">
        <v>108</v>
      </c>
      <c r="C11" s="25"/>
      <c r="D11" s="25"/>
      <c r="E11" s="25"/>
    </row>
    <row r="12" customFormat="false" ht="25.5" hidden="false" customHeight="true" outlineLevel="0" collapsed="false">
      <c r="B12" s="6" t="s">
        <v>86</v>
      </c>
      <c r="C12" s="28" t="n">
        <v>24</v>
      </c>
      <c r="D12" s="27" t="s">
        <v>109</v>
      </c>
      <c r="E12" s="20" t="s">
        <v>110</v>
      </c>
    </row>
    <row r="13" customFormat="false" ht="25.5" hidden="false" customHeight="true" outlineLevel="0" collapsed="false">
      <c r="B13" s="6" t="s">
        <v>111</v>
      </c>
      <c r="C13" s="26" t="n">
        <v>30000</v>
      </c>
      <c r="D13" s="27" t="s">
        <v>100</v>
      </c>
      <c r="E13" s="20" t="s">
        <v>112</v>
      </c>
    </row>
    <row r="14" customFormat="false" ht="25.5" hidden="false" customHeight="true" outlineLevel="0" collapsed="false">
      <c r="B14" s="6" t="s">
        <v>113</v>
      </c>
      <c r="C14" s="26" t="n">
        <v>7000</v>
      </c>
      <c r="D14" s="27" t="s">
        <v>100</v>
      </c>
      <c r="E14" s="20" t="s">
        <v>114</v>
      </c>
    </row>
    <row r="15" customFormat="false" ht="25.5" hidden="false" customHeight="true" outlineLevel="0" collapsed="false">
      <c r="B15" s="6" t="s">
        <v>115</v>
      </c>
      <c r="C15" s="26" t="n">
        <v>110000</v>
      </c>
      <c r="D15" s="27" t="s">
        <v>100</v>
      </c>
      <c r="E15" s="20" t="s">
        <v>112</v>
      </c>
    </row>
    <row r="16" customFormat="false" ht="25.5" hidden="false" customHeight="true" outlineLevel="0" collapsed="false">
      <c r="B16" s="6" t="s">
        <v>116</v>
      </c>
      <c r="C16" s="26" t="n">
        <v>12000</v>
      </c>
      <c r="D16" s="27" t="s">
        <v>100</v>
      </c>
      <c r="E16" s="20" t="s">
        <v>114</v>
      </c>
    </row>
    <row r="17" customFormat="false" ht="25.5" hidden="false" customHeight="true" outlineLevel="0" collapsed="false">
      <c r="B17" s="6" t="s">
        <v>117</v>
      </c>
      <c r="C17" s="26" t="n">
        <v>218000</v>
      </c>
      <c r="D17" s="27" t="s">
        <v>100</v>
      </c>
      <c r="E17" s="20" t="s">
        <v>112</v>
      </c>
    </row>
    <row r="18" customFormat="false" ht="25.5" hidden="false" customHeight="true" outlineLevel="0" collapsed="false">
      <c r="B18" s="6" t="s">
        <v>118</v>
      </c>
      <c r="C18" s="26" t="n">
        <v>20000</v>
      </c>
      <c r="D18" s="27" t="s">
        <v>100</v>
      </c>
      <c r="E18" s="20" t="s">
        <v>114</v>
      </c>
    </row>
    <row r="19" customFormat="false" ht="21.75" hidden="false" customHeight="true" outlineLevel="0" collapsed="false">
      <c r="B19" s="24" t="s">
        <v>119</v>
      </c>
      <c r="C19" s="25"/>
      <c r="D19" s="25"/>
      <c r="E19" s="25"/>
    </row>
    <row r="20" customFormat="false" ht="25.5" hidden="false" customHeight="true" outlineLevel="0" collapsed="false">
      <c r="B20" s="6" t="s">
        <v>120</v>
      </c>
      <c r="C20" s="26" t="n">
        <v>5800</v>
      </c>
      <c r="D20" s="27" t="s">
        <v>100</v>
      </c>
      <c r="E20" s="21" t="s">
        <v>121</v>
      </c>
    </row>
    <row r="21" customFormat="false" ht="25.5" hidden="false" customHeight="true" outlineLevel="0" collapsed="false">
      <c r="B21" s="6" t="s">
        <v>122</v>
      </c>
      <c r="C21" s="26" t="n">
        <v>9800</v>
      </c>
      <c r="D21" s="27" t="s">
        <v>100</v>
      </c>
      <c r="E21" s="20" t="s">
        <v>123</v>
      </c>
    </row>
    <row r="22" customFormat="false" ht="25.5" hidden="false" customHeight="true" outlineLevel="0" collapsed="false">
      <c r="B22" s="6" t="s">
        <v>124</v>
      </c>
      <c r="C22" s="26" t="n">
        <v>16000</v>
      </c>
      <c r="D22" s="27" t="s">
        <v>100</v>
      </c>
      <c r="E22" s="21" t="s">
        <v>125</v>
      </c>
    </row>
    <row r="23" customFormat="false" ht="25.5" hidden="false" customHeight="true" outlineLevel="0" collapsed="false">
      <c r="B23" s="6" t="s">
        <v>126</v>
      </c>
      <c r="C23" s="26" t="n">
        <v>29800</v>
      </c>
      <c r="D23" s="27" t="s">
        <v>100</v>
      </c>
      <c r="E23" s="20" t="s">
        <v>127</v>
      </c>
    </row>
    <row r="24" customFormat="false" ht="21.75" hidden="false" customHeight="true" outlineLevel="0" collapsed="false">
      <c r="B24" s="24" t="s">
        <v>128</v>
      </c>
      <c r="C24" s="25"/>
      <c r="D24" s="25"/>
      <c r="E24" s="25"/>
    </row>
    <row r="25" customFormat="false" ht="25.5" hidden="false" customHeight="true" outlineLevel="0" collapsed="false">
      <c r="B25" s="6" t="s">
        <v>129</v>
      </c>
      <c r="C25" s="28" t="n">
        <v>36</v>
      </c>
      <c r="D25" s="27" t="s">
        <v>130</v>
      </c>
      <c r="E25" s="20" t="s">
        <v>131</v>
      </c>
    </row>
    <row r="26" customFormat="false" ht="25.5" hidden="false" customHeight="true" outlineLevel="0" collapsed="false">
      <c r="B26" s="6" t="s">
        <v>132</v>
      </c>
      <c r="C26" s="26" t="n">
        <v>9800</v>
      </c>
      <c r="D26" s="27" t="s">
        <v>100</v>
      </c>
      <c r="E26" s="21" t="s">
        <v>133</v>
      </c>
    </row>
    <row r="27" customFormat="false" ht="25.5" hidden="false" customHeight="true" outlineLevel="0" collapsed="false">
      <c r="B27" s="6" t="s">
        <v>134</v>
      </c>
      <c r="C27" s="26" t="n">
        <v>14800</v>
      </c>
      <c r="D27" s="27" t="s">
        <v>100</v>
      </c>
      <c r="E27" s="21" t="s">
        <v>135</v>
      </c>
    </row>
    <row r="28" customFormat="false" ht="25.5" hidden="false" customHeight="true" outlineLevel="0" collapsed="false">
      <c r="B28" s="6" t="s">
        <v>136</v>
      </c>
      <c r="C28" s="26" t="n">
        <v>19800</v>
      </c>
      <c r="D28" s="27" t="s">
        <v>100</v>
      </c>
      <c r="E28" s="21" t="s">
        <v>137</v>
      </c>
    </row>
    <row r="29" customFormat="false" ht="25.5" hidden="false" customHeight="true" outlineLevel="0" collapsed="false">
      <c r="B29" s="6" t="s">
        <v>138</v>
      </c>
      <c r="C29" s="26" t="n">
        <v>5000</v>
      </c>
      <c r="D29" s="27" t="s">
        <v>100</v>
      </c>
      <c r="E29" s="21" t="s">
        <v>139</v>
      </c>
    </row>
    <row r="30" customFormat="false" ht="21.75" hidden="false" customHeight="true" outlineLevel="0" collapsed="false">
      <c r="B30" s="24" t="s">
        <v>140</v>
      </c>
      <c r="C30" s="25"/>
      <c r="D30" s="25"/>
      <c r="E30" s="25"/>
    </row>
    <row r="31" customFormat="false" ht="25.5" hidden="false" customHeight="true" outlineLevel="0" collapsed="false">
      <c r="B31" s="6" t="s">
        <v>141</v>
      </c>
      <c r="C31" s="29" t="n">
        <v>0.666666666666667</v>
      </c>
      <c r="D31" s="30" t="s">
        <v>142</v>
      </c>
      <c r="E31" s="21" t="s">
        <v>143</v>
      </c>
    </row>
    <row r="32" customFormat="false" ht="25.5" hidden="false" customHeight="true" outlineLevel="0" collapsed="false">
      <c r="B32" s="6" t="s">
        <v>144</v>
      </c>
      <c r="C32" s="26" t="n">
        <v>500000</v>
      </c>
      <c r="D32" s="27" t="s">
        <v>100</v>
      </c>
      <c r="E32" s="20" t="s">
        <v>145</v>
      </c>
    </row>
    <row r="33" customFormat="false" ht="25.5" hidden="false" customHeight="true" outlineLevel="0" collapsed="false">
      <c r="B33" s="6" t="s">
        <v>146</v>
      </c>
      <c r="C33" s="26" t="n">
        <v>300000</v>
      </c>
      <c r="D33" s="27" t="s">
        <v>100</v>
      </c>
      <c r="E33" s="20" t="s">
        <v>147</v>
      </c>
    </row>
    <row r="34" customFormat="false" ht="21.75" hidden="false" customHeight="true" outlineLevel="0" collapsed="false">
      <c r="B34" s="24" t="s">
        <v>148</v>
      </c>
      <c r="C34" s="25"/>
      <c r="D34" s="25"/>
      <c r="E34" s="25"/>
    </row>
    <row r="35" customFormat="false" ht="25.5" hidden="false" customHeight="true" outlineLevel="0" collapsed="false">
      <c r="B35" s="6" t="s">
        <v>149</v>
      </c>
      <c r="C35" s="26" t="n">
        <v>110000</v>
      </c>
      <c r="D35" s="27" t="s">
        <v>100</v>
      </c>
      <c r="E35" s="20" t="s">
        <v>150</v>
      </c>
    </row>
    <row r="36" customFormat="false" ht="25.5" hidden="false" customHeight="true" outlineLevel="0" collapsed="false">
      <c r="B36" s="6" t="s">
        <v>151</v>
      </c>
      <c r="C36" s="26" t="n">
        <v>55000</v>
      </c>
      <c r="D36" s="27" t="s">
        <v>100</v>
      </c>
      <c r="E36" s="20" t="s">
        <v>150</v>
      </c>
    </row>
    <row r="37" customFormat="false" ht="25.5" hidden="false" customHeight="true" outlineLevel="0" collapsed="false">
      <c r="B37" s="6" t="s">
        <v>122</v>
      </c>
      <c r="C37" s="26" t="n">
        <v>27500</v>
      </c>
      <c r="D37" s="27" t="s">
        <v>100</v>
      </c>
      <c r="E37" s="20" t="s">
        <v>150</v>
      </c>
    </row>
    <row r="38" customFormat="false" ht="25.5" hidden="false" customHeight="true" outlineLevel="0" collapsed="false">
      <c r="B38" s="6" t="s">
        <v>120</v>
      </c>
      <c r="C38" s="26" t="n">
        <v>11000</v>
      </c>
      <c r="D38" s="27" t="s">
        <v>100</v>
      </c>
      <c r="E38" s="20" t="s">
        <v>150</v>
      </c>
    </row>
    <row r="39" customFormat="false" ht="25.5" hidden="false" customHeight="true" outlineLevel="0" collapsed="false">
      <c r="B39" s="6" t="s">
        <v>152</v>
      </c>
      <c r="C39" s="26" t="n">
        <v>0</v>
      </c>
      <c r="D39" s="27" t="s">
        <v>100</v>
      </c>
      <c r="E39" s="20" t="s">
        <v>150</v>
      </c>
    </row>
    <row r="40" customFormat="false" ht="25.5" hidden="false" customHeight="true" outlineLevel="0" collapsed="false">
      <c r="B40" s="6" t="s">
        <v>153</v>
      </c>
      <c r="C40" s="26" t="n">
        <v>220</v>
      </c>
      <c r="D40" s="27" t="s">
        <v>100</v>
      </c>
      <c r="E40" s="21" t="s">
        <v>154</v>
      </c>
    </row>
    <row r="41" customFormat="false" ht="25.5" hidden="false" customHeight="true" outlineLevel="0" collapsed="false">
      <c r="B41" s="6" t="s">
        <v>155</v>
      </c>
      <c r="C41" s="26" t="n">
        <v>110</v>
      </c>
      <c r="D41" s="27" t="s">
        <v>100</v>
      </c>
      <c r="E41" s="21" t="s">
        <v>156</v>
      </c>
    </row>
    <row r="43" customFormat="false" ht="27.75" hidden="false" customHeight="true" outlineLevel="0" collapsed="false">
      <c r="A43" s="23" t="s">
        <v>157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J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3" min="2" style="0" width="9"/>
    <col collapsed="false" customWidth="true" hidden="false" outlineLevel="0" max="7" min="4" style="0" width="14"/>
    <col collapsed="false" customWidth="true" hidden="false" outlineLevel="0" max="8" min="8" style="0" width="16"/>
    <col collapsed="false" customWidth="true" hidden="false" outlineLevel="0" max="9" min="9" style="0" width="15"/>
    <col collapsed="false" customWidth="true" hidden="false" outlineLevel="0" max="10" min="10" style="0" width="44"/>
  </cols>
  <sheetData>
    <row r="2" customFormat="false" ht="24" hidden="false" customHeight="true" outlineLevel="0" collapsed="false">
      <c r="A2" s="1" t="s">
        <v>9</v>
      </c>
    </row>
    <row r="3" customFormat="false" ht="15" hidden="false" customHeight="true" outlineLevel="0" collapsed="false">
      <c r="A3" s="2" t="s">
        <v>158</v>
      </c>
    </row>
    <row r="5" customFormat="false" ht="30" hidden="false" customHeight="true" outlineLevel="0" collapsed="false">
      <c r="A5" s="4" t="s">
        <v>159</v>
      </c>
      <c r="B5" s="4" t="s">
        <v>160</v>
      </c>
      <c r="C5" s="4" t="s">
        <v>161</v>
      </c>
      <c r="D5" s="4" t="s">
        <v>162</v>
      </c>
      <c r="E5" s="4" t="s">
        <v>163</v>
      </c>
      <c r="F5" s="4" t="s">
        <v>164</v>
      </c>
      <c r="G5" s="4" t="s">
        <v>165</v>
      </c>
      <c r="H5" s="4" t="s">
        <v>166</v>
      </c>
      <c r="I5" s="4" t="s">
        <v>167</v>
      </c>
      <c r="J5" s="4" t="s">
        <v>168</v>
      </c>
    </row>
    <row r="6" customFormat="false" ht="27.75" hidden="false" customHeight="true" outlineLevel="0" collapsed="false">
      <c r="A6" s="6" t="s">
        <v>99</v>
      </c>
      <c r="B6" s="31" t="n">
        <v>1</v>
      </c>
      <c r="C6" s="31" t="n">
        <v>2</v>
      </c>
      <c r="D6" s="32" t="n">
        <f aca="false">料金レバー!$C$7</f>
        <v>39800</v>
      </c>
      <c r="E6" s="33" t="s">
        <v>142</v>
      </c>
      <c r="F6" s="33" t="s">
        <v>142</v>
      </c>
      <c r="G6" s="33" t="s">
        <v>142</v>
      </c>
      <c r="H6" s="33" t="s">
        <v>142</v>
      </c>
      <c r="I6" s="34" t="n">
        <f aca="false">料金レバー!$C$20</f>
        <v>5800</v>
      </c>
      <c r="J6" s="35" t="s">
        <v>169</v>
      </c>
    </row>
    <row r="7" customFormat="false" ht="27.75" hidden="false" customHeight="true" outlineLevel="0" collapsed="false">
      <c r="A7" s="6" t="s">
        <v>122</v>
      </c>
      <c r="B7" s="31" t="n">
        <v>6</v>
      </c>
      <c r="C7" s="31" t="n">
        <v>4</v>
      </c>
      <c r="D7" s="32" t="n">
        <f aca="false">料金レバー!$C$8</f>
        <v>198000</v>
      </c>
      <c r="E7" s="36" t="n">
        <f aca="false">料金レバー!$C$13</f>
        <v>30000</v>
      </c>
      <c r="F7" s="36" t="n">
        <f aca="false">料金レバー!$C$14</f>
        <v>7000</v>
      </c>
      <c r="G7" s="36" t="n">
        <f aca="false">料金レバー!$C$13+料金レバー!$C$14*料金レバー!$C$12</f>
        <v>198000</v>
      </c>
      <c r="H7" s="37" t="n">
        <f aca="false">G7-D7</f>
        <v>0</v>
      </c>
      <c r="I7" s="36" t="n">
        <f aca="false">料金レバー!$C$14+料金レバー!$C$21</f>
        <v>16800</v>
      </c>
      <c r="J7" s="35" t="s">
        <v>103</v>
      </c>
    </row>
    <row r="8" customFormat="false" ht="27.75" hidden="false" customHeight="true" outlineLevel="0" collapsed="false">
      <c r="A8" s="38" t="s">
        <v>170</v>
      </c>
      <c r="B8" s="39" t="n">
        <v>9</v>
      </c>
      <c r="C8" s="39" t="n">
        <v>6</v>
      </c>
      <c r="D8" s="40" t="n">
        <f aca="false">料金レバー!$C$9</f>
        <v>398000</v>
      </c>
      <c r="E8" s="41" t="n">
        <f aca="false">料金レバー!$C$15</f>
        <v>110000</v>
      </c>
      <c r="F8" s="41" t="n">
        <f aca="false">料金レバー!$C$16</f>
        <v>12000</v>
      </c>
      <c r="G8" s="41" t="n">
        <f aca="false">料金レバー!$C$15+料金レバー!$C$16*料金レバー!$C$12</f>
        <v>398000</v>
      </c>
      <c r="H8" s="42" t="n">
        <f aca="false">G8-D8</f>
        <v>0</v>
      </c>
      <c r="I8" s="40" t="n">
        <f aca="false">料金レバー!$C$16+料金レバー!$C$22</f>
        <v>28000</v>
      </c>
      <c r="J8" s="43" t="s">
        <v>105</v>
      </c>
    </row>
    <row r="9" customFormat="false" ht="27.75" hidden="false" customHeight="true" outlineLevel="0" collapsed="false">
      <c r="A9" s="6" t="s">
        <v>171</v>
      </c>
      <c r="B9" s="31" t="n">
        <v>14</v>
      </c>
      <c r="C9" s="31" t="n">
        <v>10</v>
      </c>
      <c r="D9" s="32" t="n">
        <f aca="false">料金レバー!$C$10</f>
        <v>698000</v>
      </c>
      <c r="E9" s="36" t="n">
        <f aca="false">料金レバー!$C$17</f>
        <v>218000</v>
      </c>
      <c r="F9" s="36" t="n">
        <f aca="false">料金レバー!$C$18</f>
        <v>20000</v>
      </c>
      <c r="G9" s="36" t="n">
        <f aca="false">料金レバー!$C$17+料金レバー!$C$18*料金レバー!$C$12</f>
        <v>698000</v>
      </c>
      <c r="H9" s="37" t="n">
        <f aca="false">G9-D9</f>
        <v>0</v>
      </c>
      <c r="I9" s="36" t="n">
        <f aca="false">料金レバー!$C$18+料金レバー!$C$23</f>
        <v>49800</v>
      </c>
      <c r="J9" s="35" t="s">
        <v>107</v>
      </c>
    </row>
    <row r="11" customFormat="false" ht="27.75" hidden="false" customHeight="true" outlineLevel="0" collapsed="false">
      <c r="A11" s="23" t="s">
        <v>172</v>
      </c>
    </row>
    <row r="13" customFormat="false" ht="24" hidden="false" customHeight="true" outlineLevel="0" collapsed="false">
      <c r="A13" s="1" t="s">
        <v>173</v>
      </c>
    </row>
    <row r="14" customFormat="false" ht="15" hidden="false" customHeight="true" outlineLevel="0" collapsed="false">
      <c r="A14" s="2" t="s">
        <v>174</v>
      </c>
    </row>
    <row r="16" customFormat="false" ht="30" hidden="false" customHeight="true" outlineLevel="0" collapsed="false">
      <c r="A16" s="4" t="s">
        <v>175</v>
      </c>
      <c r="B16" s="4" t="s">
        <v>176</v>
      </c>
      <c r="C16" s="3"/>
      <c r="D16" s="3"/>
      <c r="E16" s="3"/>
      <c r="F16" s="3"/>
      <c r="G16" s="3"/>
      <c r="H16" s="3"/>
      <c r="I16" s="3"/>
      <c r="J16" s="4" t="s">
        <v>177</v>
      </c>
    </row>
    <row r="17" customFormat="false" ht="15" hidden="false" customHeight="false" outlineLevel="0" collapsed="false">
      <c r="A17" s="6" t="s">
        <v>178</v>
      </c>
      <c r="B17" s="36" t="n">
        <f aca="false">料金レバー!$C$8-料金レバー!$C$7</f>
        <v>158200</v>
      </c>
      <c r="J17" s="20" t="s">
        <v>179</v>
      </c>
    </row>
    <row r="18" customFormat="false" ht="15" hidden="false" customHeight="false" outlineLevel="0" collapsed="false">
      <c r="A18" s="6" t="s">
        <v>180</v>
      </c>
      <c r="B18" s="36" t="n">
        <f aca="false">料金レバー!$C$9-料金レバー!$C$8</f>
        <v>200000</v>
      </c>
      <c r="J18" s="20" t="s">
        <v>179</v>
      </c>
    </row>
    <row r="19" customFormat="false" ht="15" hidden="false" customHeight="false" outlineLevel="0" collapsed="false">
      <c r="A19" s="6" t="s">
        <v>181</v>
      </c>
      <c r="B19" s="36" t="n">
        <f aca="false">料金レバー!$C$10-料金レバー!$C$9</f>
        <v>300000</v>
      </c>
      <c r="J19" s="20" t="s">
        <v>179</v>
      </c>
    </row>
    <row r="20" customFormat="false" ht="15" hidden="false" customHeight="false" outlineLevel="0" collapsed="false">
      <c r="A20" s="6" t="s">
        <v>182</v>
      </c>
      <c r="B20" s="36" t="n">
        <v>33000</v>
      </c>
      <c r="J20" s="21" t="s">
        <v>183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E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4"/>
    <col collapsed="false" customWidth="true" hidden="false" outlineLevel="0" max="3" min="3" style="0" width="13"/>
    <col collapsed="false" customWidth="true" hidden="false" outlineLevel="0" max="4" min="4" style="0" width="46"/>
    <col collapsed="false" customWidth="true" hidden="false" outlineLevel="0" max="5" min="5" style="0" width="52"/>
  </cols>
  <sheetData>
    <row r="2" customFormat="false" ht="24" hidden="false" customHeight="true" outlineLevel="0" collapsed="false">
      <c r="A2" s="1" t="s">
        <v>184</v>
      </c>
    </row>
    <row r="3" customFormat="false" ht="15" hidden="false" customHeight="true" outlineLevel="0" collapsed="false">
      <c r="A3" s="2" t="s">
        <v>185</v>
      </c>
    </row>
    <row r="5" customFormat="false" ht="30" hidden="false" customHeight="true" outlineLevel="0" collapsed="false">
      <c r="A5" s="4" t="s">
        <v>159</v>
      </c>
      <c r="B5" s="4" t="s">
        <v>186</v>
      </c>
      <c r="C5" s="3" t="s">
        <v>187</v>
      </c>
      <c r="D5" s="4" t="s">
        <v>168</v>
      </c>
      <c r="E5" s="4" t="s">
        <v>188</v>
      </c>
    </row>
    <row r="6" customFormat="false" ht="45.75" hidden="false" customHeight="true" outlineLevel="0" collapsed="false">
      <c r="A6" s="6" t="s">
        <v>120</v>
      </c>
      <c r="B6" s="32" t="n">
        <f aca="false">料金レバー!$C$20</f>
        <v>5800</v>
      </c>
      <c r="C6" s="34" t="n">
        <f aca="false">B6*料金レバー!$C$25</f>
        <v>208800</v>
      </c>
      <c r="D6" s="44" t="s">
        <v>189</v>
      </c>
      <c r="E6" s="35" t="s">
        <v>190</v>
      </c>
    </row>
    <row r="7" customFormat="false" ht="45.75" hidden="false" customHeight="true" outlineLevel="0" collapsed="false">
      <c r="A7" s="6" t="s">
        <v>122</v>
      </c>
      <c r="B7" s="32" t="n">
        <f aca="false">料金レバー!$C$21</f>
        <v>9800</v>
      </c>
      <c r="C7" s="34" t="n">
        <f aca="false">B7*料金レバー!$C$25</f>
        <v>352800</v>
      </c>
      <c r="D7" s="35" t="s">
        <v>123</v>
      </c>
      <c r="E7" s="35" t="s">
        <v>191</v>
      </c>
    </row>
    <row r="8" customFormat="false" ht="45.75" hidden="false" customHeight="true" outlineLevel="0" collapsed="false">
      <c r="A8" s="38" t="s">
        <v>170</v>
      </c>
      <c r="B8" s="40" t="n">
        <f aca="false">料金レバー!$C$22</f>
        <v>16000</v>
      </c>
      <c r="C8" s="45" t="n">
        <f aca="false">B8*料金レバー!$C$25</f>
        <v>576000</v>
      </c>
      <c r="D8" s="46" t="s">
        <v>192</v>
      </c>
      <c r="E8" s="43" t="s">
        <v>193</v>
      </c>
    </row>
    <row r="9" customFormat="false" ht="45.75" hidden="false" customHeight="true" outlineLevel="0" collapsed="false">
      <c r="A9" s="6" t="s">
        <v>126</v>
      </c>
      <c r="B9" s="32" t="n">
        <f aca="false">料金レバー!$C$23</f>
        <v>29800</v>
      </c>
      <c r="C9" s="34" t="n">
        <f aca="false">B9*料金レバー!$C$25</f>
        <v>1072800</v>
      </c>
      <c r="D9" s="35" t="s">
        <v>127</v>
      </c>
      <c r="E9" s="35" t="s">
        <v>194</v>
      </c>
    </row>
    <row r="11" customFormat="false" ht="27.75" hidden="false" customHeight="true" outlineLevel="0" collapsed="false">
      <c r="A11" s="23" t="s">
        <v>195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C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6"/>
    <col collapsed="false" customWidth="true" hidden="false" outlineLevel="0" max="3" min="3" style="0" width="54"/>
  </cols>
  <sheetData>
    <row r="2" customFormat="false" ht="24" hidden="false" customHeight="true" outlineLevel="0" collapsed="false">
      <c r="A2" s="1" t="s">
        <v>196</v>
      </c>
    </row>
    <row r="3" customFormat="false" ht="15" hidden="false" customHeight="true" outlineLevel="0" collapsed="false">
      <c r="A3" s="2" t="s">
        <v>197</v>
      </c>
    </row>
    <row r="5" customFormat="false" ht="30" hidden="false" customHeight="true" outlineLevel="0" collapsed="false">
      <c r="A5" s="4" t="s">
        <v>50</v>
      </c>
      <c r="B5" s="4" t="s">
        <v>198</v>
      </c>
      <c r="C5" s="4" t="s">
        <v>52</v>
      </c>
    </row>
    <row r="6" customFormat="false" ht="24" hidden="false" customHeight="true" outlineLevel="0" collapsed="false">
      <c r="A6" s="19" t="s">
        <v>199</v>
      </c>
      <c r="B6" s="32" t="n">
        <v>33000</v>
      </c>
      <c r="C6" s="20" t="s">
        <v>200</v>
      </c>
    </row>
    <row r="7" customFormat="false" ht="24" hidden="false" customHeight="true" outlineLevel="0" collapsed="false">
      <c r="A7" s="19" t="s">
        <v>201</v>
      </c>
      <c r="B7" s="32" t="n">
        <v>55000</v>
      </c>
      <c r="C7" s="20" t="s">
        <v>202</v>
      </c>
    </row>
    <row r="8" customFormat="false" ht="24" hidden="false" customHeight="true" outlineLevel="0" collapsed="false">
      <c r="A8" s="19" t="s">
        <v>203</v>
      </c>
      <c r="B8" s="32" t="n">
        <v>88000</v>
      </c>
      <c r="C8" s="20" t="s">
        <v>204</v>
      </c>
    </row>
    <row r="9" customFormat="false" ht="24" hidden="false" customHeight="true" outlineLevel="0" collapsed="false">
      <c r="A9" s="19" t="s">
        <v>205</v>
      </c>
      <c r="B9" s="32" t="n">
        <v>88000</v>
      </c>
      <c r="C9" s="21" t="s">
        <v>142</v>
      </c>
    </row>
    <row r="10" customFormat="false" ht="24" hidden="false" customHeight="true" outlineLevel="0" collapsed="false">
      <c r="A10" s="19" t="s">
        <v>206</v>
      </c>
      <c r="B10" s="32" t="n">
        <v>55000</v>
      </c>
      <c r="C10" s="20" t="s">
        <v>207</v>
      </c>
    </row>
    <row r="11" customFormat="false" ht="24" hidden="false" customHeight="true" outlineLevel="0" collapsed="false">
      <c r="A11" s="19" t="s">
        <v>208</v>
      </c>
      <c r="B11" s="32" t="n">
        <v>198000</v>
      </c>
      <c r="C11" s="20" t="s">
        <v>209</v>
      </c>
    </row>
    <row r="12" customFormat="false" ht="24" hidden="false" customHeight="true" outlineLevel="0" collapsed="false">
      <c r="A12" s="19" t="s">
        <v>210</v>
      </c>
      <c r="B12" s="32" t="n">
        <v>55000</v>
      </c>
      <c r="C12" s="20" t="s">
        <v>211</v>
      </c>
    </row>
    <row r="13" customFormat="false" ht="24" hidden="false" customHeight="true" outlineLevel="0" collapsed="false">
      <c r="A13" s="19" t="s">
        <v>212</v>
      </c>
      <c r="B13" s="32" t="n">
        <v>165000</v>
      </c>
      <c r="C13" s="21" t="s">
        <v>142</v>
      </c>
    </row>
    <row r="15" customFormat="false" ht="24" hidden="false" customHeight="true" outlineLevel="0" collapsed="false">
      <c r="A15" s="1" t="s">
        <v>213</v>
      </c>
    </row>
    <row r="16" customFormat="false" ht="15" hidden="false" customHeight="true" outlineLevel="0" collapsed="false">
      <c r="A16" s="2" t="s">
        <v>214</v>
      </c>
    </row>
    <row r="18" customFormat="false" ht="30" hidden="false" customHeight="true" outlineLevel="0" collapsed="false">
      <c r="A18" s="4" t="s">
        <v>50</v>
      </c>
      <c r="B18" s="3"/>
      <c r="C18" s="4" t="s">
        <v>215</v>
      </c>
    </row>
    <row r="19" customFormat="false" ht="24" hidden="false" customHeight="true" outlineLevel="0" collapsed="false">
      <c r="A19" s="47" t="s">
        <v>216</v>
      </c>
      <c r="B19" s="48" t="s">
        <v>217</v>
      </c>
      <c r="C19" s="20" t="s">
        <v>218</v>
      </c>
    </row>
    <row r="20" customFormat="false" ht="24" hidden="false" customHeight="true" outlineLevel="0" collapsed="false">
      <c r="A20" s="47" t="s">
        <v>219</v>
      </c>
      <c r="B20" s="48" t="s">
        <v>217</v>
      </c>
      <c r="C20" s="21" t="s">
        <v>220</v>
      </c>
    </row>
    <row r="21" customFormat="false" ht="24" hidden="false" customHeight="true" outlineLevel="0" collapsed="false">
      <c r="A21" s="47" t="s">
        <v>221</v>
      </c>
      <c r="B21" s="48" t="s">
        <v>217</v>
      </c>
      <c r="C21" s="21" t="s">
        <v>222</v>
      </c>
    </row>
    <row r="22" customFormat="false" ht="24" hidden="false" customHeight="true" outlineLevel="0" collapsed="false">
      <c r="A22" s="47" t="s">
        <v>223</v>
      </c>
      <c r="B22" s="48" t="s">
        <v>217</v>
      </c>
      <c r="C22" s="21" t="s">
        <v>224</v>
      </c>
    </row>
    <row r="23" customFormat="false" ht="24" hidden="false" customHeight="true" outlineLevel="0" collapsed="false">
      <c r="A23" s="49" t="s">
        <v>225</v>
      </c>
      <c r="B23" s="48" t="s">
        <v>217</v>
      </c>
      <c r="C23" s="21" t="s">
        <v>226</v>
      </c>
    </row>
    <row r="25" customFormat="false" ht="24" hidden="false" customHeight="true" outlineLevel="0" collapsed="false">
      <c r="A25" s="1" t="s">
        <v>227</v>
      </c>
    </row>
    <row r="26" customFormat="false" ht="15" hidden="false" customHeight="true" outlineLevel="0" collapsed="false">
      <c r="A26" s="2" t="s">
        <v>228</v>
      </c>
    </row>
    <row r="28" customFormat="false" ht="30" hidden="false" customHeight="true" outlineLevel="0" collapsed="false">
      <c r="A28" s="4" t="s">
        <v>50</v>
      </c>
      <c r="B28" s="4" t="s">
        <v>229</v>
      </c>
      <c r="C28" s="3"/>
    </row>
    <row r="29" customFormat="false" ht="15" hidden="false" customHeight="false" outlineLevel="0" collapsed="false">
      <c r="A29" s="50" t="s">
        <v>230</v>
      </c>
      <c r="B29" s="51" t="s">
        <v>231</v>
      </c>
      <c r="C29" s="50"/>
    </row>
    <row r="30" customFormat="false" ht="15" hidden="false" customHeight="false" outlineLevel="0" collapsed="false">
      <c r="A30" s="50" t="s">
        <v>232</v>
      </c>
      <c r="B30" s="51" t="s">
        <v>233</v>
      </c>
      <c r="C30" s="50"/>
    </row>
    <row r="31" customFormat="false" ht="15" hidden="false" customHeight="false" outlineLevel="0" collapsed="false">
      <c r="A31" s="50" t="s">
        <v>234</v>
      </c>
      <c r="B31" s="51" t="s">
        <v>235</v>
      </c>
      <c r="C31" s="50"/>
    </row>
    <row r="32" customFormat="false" ht="15" hidden="false" customHeight="false" outlineLevel="0" collapsed="false">
      <c r="A32" s="50" t="s">
        <v>236</v>
      </c>
      <c r="B32" s="51" t="s">
        <v>237</v>
      </c>
      <c r="C32" s="50"/>
    </row>
    <row r="34" customFormat="false" ht="27.75" hidden="false" customHeight="true" outlineLevel="0" collapsed="false">
      <c r="A34" s="23" t="s">
        <v>238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C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34"/>
    <col collapsed="false" customWidth="true" hidden="false" outlineLevel="0" max="3" min="3" style="0" width="26"/>
  </cols>
  <sheetData>
    <row r="2" customFormat="false" ht="24" hidden="false" customHeight="true" outlineLevel="0" collapsed="false">
      <c r="A2" s="1" t="s">
        <v>239</v>
      </c>
    </row>
    <row r="3" customFormat="false" ht="15" hidden="false" customHeight="true" outlineLevel="0" collapsed="false">
      <c r="A3" s="2" t="s">
        <v>240</v>
      </c>
    </row>
    <row r="5" customFormat="false" ht="30" hidden="false" customHeight="true" outlineLevel="0" collapsed="false">
      <c r="A5" s="4" t="s">
        <v>50</v>
      </c>
      <c r="B5" s="3"/>
      <c r="C5" s="3"/>
    </row>
    <row r="6" customFormat="false" ht="15" hidden="false" customHeight="false" outlineLevel="0" collapsed="false">
      <c r="A6" s="6" t="s">
        <v>241</v>
      </c>
      <c r="B6" s="52" t="s">
        <v>242</v>
      </c>
      <c r="C6" s="50"/>
    </row>
    <row r="7" customFormat="false" ht="15" hidden="false" customHeight="false" outlineLevel="0" collapsed="false">
      <c r="A7" s="6" t="s">
        <v>243</v>
      </c>
      <c r="B7" s="52" t="s">
        <v>242</v>
      </c>
      <c r="C7" s="50"/>
    </row>
    <row r="8" customFormat="false" ht="15" hidden="false" customHeight="false" outlineLevel="0" collapsed="false">
      <c r="A8" s="6" t="s">
        <v>244</v>
      </c>
      <c r="B8" s="52" t="s">
        <v>242</v>
      </c>
      <c r="C8" s="50"/>
    </row>
    <row r="9" customFormat="false" ht="15" hidden="false" customHeight="false" outlineLevel="0" collapsed="false">
      <c r="A9" s="6" t="s">
        <v>245</v>
      </c>
      <c r="B9" s="52" t="s">
        <v>242</v>
      </c>
      <c r="C9" s="50"/>
    </row>
    <row r="10" customFormat="false" ht="15" hidden="false" customHeight="false" outlineLevel="0" collapsed="false">
      <c r="A10" s="6" t="s">
        <v>246</v>
      </c>
      <c r="B10" s="52" t="s">
        <v>242</v>
      </c>
      <c r="C10" s="50"/>
    </row>
    <row r="11" customFormat="false" ht="15" hidden="false" customHeight="false" outlineLevel="0" collapsed="false">
      <c r="A11" s="6" t="s">
        <v>247</v>
      </c>
      <c r="B11" s="52" t="s">
        <v>242</v>
      </c>
      <c r="C11" s="50"/>
    </row>
    <row r="12" customFormat="false" ht="15" hidden="false" customHeight="false" outlineLevel="0" collapsed="false">
      <c r="A12" s="6" t="s">
        <v>248</v>
      </c>
      <c r="B12" s="52" t="s">
        <v>242</v>
      </c>
      <c r="C12" s="50"/>
    </row>
    <row r="13" customFormat="false" ht="15" hidden="false" customHeight="false" outlineLevel="0" collapsed="false">
      <c r="A13" s="6" t="s">
        <v>249</v>
      </c>
      <c r="B13" s="52" t="s">
        <v>242</v>
      </c>
      <c r="C13" s="50"/>
    </row>
    <row r="14" customFormat="false" ht="15" hidden="false" customHeight="false" outlineLevel="0" collapsed="false">
      <c r="A14" s="6" t="s">
        <v>250</v>
      </c>
      <c r="B14" s="52" t="s">
        <v>242</v>
      </c>
      <c r="C14" s="50"/>
    </row>
    <row r="16" customFormat="false" ht="24" hidden="false" customHeight="true" outlineLevel="0" collapsed="false">
      <c r="A16" s="1" t="s">
        <v>251</v>
      </c>
    </row>
    <row r="18" customFormat="false" ht="30" hidden="false" customHeight="true" outlineLevel="0" collapsed="false">
      <c r="A18" s="4" t="s">
        <v>50</v>
      </c>
      <c r="B18" s="4" t="s">
        <v>51</v>
      </c>
      <c r="C18" s="4" t="s">
        <v>252</v>
      </c>
    </row>
    <row r="19" customFormat="false" ht="21.75" hidden="false" customHeight="true" outlineLevel="0" collapsed="false">
      <c r="A19" s="6" t="s">
        <v>253</v>
      </c>
      <c r="B19" s="7" t="s">
        <v>254</v>
      </c>
      <c r="C19" s="51" t="s">
        <v>255</v>
      </c>
    </row>
    <row r="20" customFormat="false" ht="21.75" hidden="false" customHeight="true" outlineLevel="0" collapsed="false">
      <c r="A20" s="6" t="s">
        <v>256</v>
      </c>
      <c r="B20" s="7" t="s">
        <v>257</v>
      </c>
      <c r="C20" s="53" t="s">
        <v>258</v>
      </c>
    </row>
    <row r="21" customFormat="false" ht="21.75" hidden="false" customHeight="true" outlineLevel="0" collapsed="false">
      <c r="A21" s="6" t="s">
        <v>259</v>
      </c>
      <c r="B21" s="7" t="s">
        <v>260</v>
      </c>
      <c r="C21" s="53" t="s">
        <v>258</v>
      </c>
    </row>
    <row r="22" customFormat="false" ht="21.75" hidden="false" customHeight="true" outlineLevel="0" collapsed="false">
      <c r="A22" s="6" t="s">
        <v>261</v>
      </c>
      <c r="B22" s="7" t="s">
        <v>262</v>
      </c>
      <c r="C22" s="53" t="s">
        <v>258</v>
      </c>
    </row>
    <row r="23" customFormat="false" ht="21.75" hidden="false" customHeight="true" outlineLevel="0" collapsed="false">
      <c r="A23" s="6" t="s">
        <v>263</v>
      </c>
      <c r="B23" s="9" t="s">
        <v>142</v>
      </c>
      <c r="C23" s="51" t="s">
        <v>264</v>
      </c>
    </row>
    <row r="24" customFormat="false" ht="21.75" hidden="false" customHeight="true" outlineLevel="0" collapsed="false">
      <c r="A24" s="6" t="s">
        <v>265</v>
      </c>
      <c r="B24" s="7" t="s">
        <v>266</v>
      </c>
      <c r="C24" s="51" t="s">
        <v>267</v>
      </c>
    </row>
    <row r="26" customFormat="false" ht="27.75" hidden="false" customHeight="true" outlineLevel="0" collapsed="false">
      <c r="A26" s="23" t="s">
        <v>268</v>
      </c>
    </row>
    <row r="28" customFormat="false" ht="27.75" hidden="false" customHeight="true" outlineLevel="0" collapsed="false">
      <c r="A28" s="23" t="s">
        <v>269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J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4" min="3" style="0" width="14"/>
    <col collapsed="false" customWidth="true" hidden="false" outlineLevel="0" max="5" min="5" style="0" width="18"/>
    <col collapsed="false" customWidth="true" hidden="false" outlineLevel="0" max="8" min="6" style="0" width="14"/>
    <col collapsed="false" customWidth="true" hidden="false" outlineLevel="0" max="9" min="9" style="0" width="18"/>
    <col collapsed="false" customWidth="true" hidden="false" outlineLevel="0" max="10" min="10" style="0" width="16"/>
  </cols>
  <sheetData>
    <row r="2" customFormat="false" ht="24" hidden="false" customHeight="true" outlineLevel="0" collapsed="false">
      <c r="A2" s="1" t="s">
        <v>270</v>
      </c>
    </row>
    <row r="3" customFormat="false" ht="15" hidden="false" customHeight="true" outlineLevel="0" collapsed="false">
      <c r="A3" s="2" t="s">
        <v>271</v>
      </c>
    </row>
    <row r="5" customFormat="false" ht="30" hidden="false" customHeight="true" outlineLevel="0" collapsed="false">
      <c r="A5" s="4" t="s">
        <v>272</v>
      </c>
      <c r="B5" s="4" t="s">
        <v>160</v>
      </c>
      <c r="C5" s="4" t="s">
        <v>273</v>
      </c>
      <c r="D5" s="4" t="s">
        <v>186</v>
      </c>
      <c r="E5" s="3" t="s">
        <v>274</v>
      </c>
      <c r="F5" s="4" t="s">
        <v>275</v>
      </c>
      <c r="G5" s="4" t="s">
        <v>162</v>
      </c>
      <c r="H5" s="4" t="s">
        <v>276</v>
      </c>
      <c r="I5" s="3" t="s">
        <v>274</v>
      </c>
      <c r="J5" s="4" t="s">
        <v>277</v>
      </c>
    </row>
    <row r="6" customFormat="false" ht="21.75" hidden="false" customHeight="true" outlineLevel="0" collapsed="false">
      <c r="A6" s="50" t="s">
        <v>278</v>
      </c>
      <c r="B6" s="31" t="n">
        <v>1</v>
      </c>
      <c r="C6" s="36" t="n">
        <f aca="false">料金レバー!$C$29</f>
        <v>5000</v>
      </c>
      <c r="D6" s="36" t="n">
        <f aca="false">料金レバー!$C$26</f>
        <v>9800</v>
      </c>
      <c r="E6" s="32" t="n">
        <f aca="false">C6+D6*料金レバー!$C$25</f>
        <v>357800</v>
      </c>
      <c r="F6" s="6" t="s">
        <v>99</v>
      </c>
      <c r="G6" s="36" t="n">
        <f aca="false">料金レバー!$C$7</f>
        <v>39800</v>
      </c>
      <c r="H6" s="36" t="n">
        <f aca="false">料金レバー!$C$20</f>
        <v>5800</v>
      </c>
      <c r="I6" s="32" t="n">
        <f aca="false">G6+H6*料金レバー!$C$25</f>
        <v>248600</v>
      </c>
      <c r="J6" s="54" t="n">
        <f aca="false">I6-E6</f>
        <v>-109200</v>
      </c>
    </row>
    <row r="7" customFormat="false" ht="21.75" hidden="false" customHeight="true" outlineLevel="0" collapsed="false">
      <c r="A7" s="50" t="s">
        <v>279</v>
      </c>
      <c r="B7" s="31" t="n">
        <v>6</v>
      </c>
      <c r="C7" s="36" t="n">
        <f aca="false">料金レバー!$C$29</f>
        <v>5000</v>
      </c>
      <c r="D7" s="36" t="n">
        <f aca="false">料金レバー!$C$27</f>
        <v>14800</v>
      </c>
      <c r="E7" s="32" t="n">
        <f aca="false">C7+D7*料金レバー!$C$25</f>
        <v>537800</v>
      </c>
      <c r="F7" s="6" t="s">
        <v>122</v>
      </c>
      <c r="G7" s="36" t="n">
        <f aca="false">料金レバー!$C$8</f>
        <v>198000</v>
      </c>
      <c r="H7" s="36" t="n">
        <f aca="false">料金レバー!$C$21</f>
        <v>9800</v>
      </c>
      <c r="I7" s="32" t="n">
        <f aca="false">G7+H7*料金レバー!$C$25</f>
        <v>550800</v>
      </c>
      <c r="J7" s="55" t="n">
        <f aca="false">I7-E7</f>
        <v>13000</v>
      </c>
    </row>
    <row r="8" customFormat="false" ht="21.75" hidden="false" customHeight="true" outlineLevel="0" collapsed="false">
      <c r="A8" s="50" t="s">
        <v>280</v>
      </c>
      <c r="B8" s="31" t="n">
        <v>12</v>
      </c>
      <c r="C8" s="36" t="n">
        <f aca="false">料金レバー!$C$29</f>
        <v>5000</v>
      </c>
      <c r="D8" s="36" t="n">
        <f aca="false">料金レバー!$C$28</f>
        <v>19800</v>
      </c>
      <c r="E8" s="32" t="n">
        <f aca="false">C8+D8*料金レバー!$C$25</f>
        <v>717800</v>
      </c>
      <c r="F8" s="6" t="s">
        <v>124</v>
      </c>
      <c r="G8" s="36" t="n">
        <f aca="false">料金レバー!$C$9</f>
        <v>398000</v>
      </c>
      <c r="H8" s="36" t="n">
        <f aca="false">料金レバー!$C$22</f>
        <v>16000</v>
      </c>
      <c r="I8" s="32" t="n">
        <f aca="false">G8+H8*料金レバー!$C$25</f>
        <v>974000</v>
      </c>
      <c r="J8" s="55" t="n">
        <f aca="false">I8-E8</f>
        <v>256200</v>
      </c>
    </row>
    <row r="10" customFormat="false" ht="27.75" hidden="false" customHeight="true" outlineLevel="0" collapsed="false">
      <c r="A10" s="23" t="s">
        <v>281</v>
      </c>
    </row>
    <row r="12" customFormat="false" ht="27.75" hidden="false" customHeight="true" outlineLevel="0" collapsed="false">
      <c r="A12" s="23" t="s">
        <v>282</v>
      </c>
    </row>
    <row r="14" customFormat="false" ht="24" hidden="false" customHeight="true" outlineLevel="0" collapsed="false">
      <c r="A14" s="1" t="s">
        <v>283</v>
      </c>
    </row>
    <row r="15" customFormat="false" ht="15" hidden="false" customHeight="true" outlineLevel="0" collapsed="false">
      <c r="A15" s="56" t="s">
        <v>284</v>
      </c>
    </row>
    <row r="17" customFormat="false" ht="15" hidden="false" customHeight="false" outlineLevel="0" collapsed="false">
      <c r="A17" s="6" t="s">
        <v>285</v>
      </c>
      <c r="B17" s="57" t="n">
        <f aca="false">料金レバー!$C$7/料金レバー!$C$26</f>
        <v>4.06122448979592</v>
      </c>
      <c r="C17" s="58" t="s">
        <v>286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E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40"/>
    <col collapsed="false" customWidth="true" hidden="false" outlineLevel="0" max="4" min="3" style="0" width="16"/>
    <col collapsed="false" customWidth="true" hidden="false" outlineLevel="0" max="5" min="5" style="0" width="34"/>
  </cols>
  <sheetData>
    <row r="2" customFormat="false" ht="24" hidden="false" customHeight="true" outlineLevel="0" collapsed="false">
      <c r="A2" s="1" t="s">
        <v>287</v>
      </c>
    </row>
    <row r="3" customFormat="false" ht="15" hidden="false" customHeight="true" outlineLevel="0" collapsed="false">
      <c r="A3" s="2" t="s">
        <v>288</v>
      </c>
    </row>
    <row r="5" customFormat="false" ht="30" hidden="false" customHeight="true" outlineLevel="0" collapsed="false">
      <c r="A5" s="4" t="s">
        <v>289</v>
      </c>
      <c r="B5" s="4" t="s">
        <v>51</v>
      </c>
      <c r="C5" s="4" t="s">
        <v>198</v>
      </c>
      <c r="D5" s="3"/>
      <c r="E5" s="4" t="s">
        <v>52</v>
      </c>
    </row>
    <row r="6" customFormat="false" ht="21.75" hidden="false" customHeight="true" outlineLevel="0" collapsed="false">
      <c r="A6" s="6" t="s">
        <v>290</v>
      </c>
      <c r="B6" s="7" t="s">
        <v>291</v>
      </c>
      <c r="C6" s="59" t="n">
        <v>398000</v>
      </c>
      <c r="D6" s="50"/>
      <c r="E6" s="60"/>
    </row>
    <row r="7" customFormat="false" ht="21.75" hidden="false" customHeight="true" outlineLevel="0" collapsed="false">
      <c r="A7" s="6" t="s">
        <v>292</v>
      </c>
      <c r="B7" s="7" t="s">
        <v>293</v>
      </c>
      <c r="C7" s="59" t="n">
        <v>150000</v>
      </c>
      <c r="D7" s="50"/>
      <c r="E7" s="60"/>
    </row>
    <row r="8" customFormat="false" ht="21.75" hidden="false" customHeight="true" outlineLevel="0" collapsed="false">
      <c r="A8" s="6" t="s">
        <v>292</v>
      </c>
      <c r="B8" s="7" t="s">
        <v>294</v>
      </c>
      <c r="C8" s="59" t="n">
        <v>100000</v>
      </c>
      <c r="D8" s="50"/>
      <c r="E8" s="60"/>
    </row>
    <row r="9" customFormat="false" ht="21.75" hidden="false" customHeight="true" outlineLevel="0" collapsed="false">
      <c r="A9" s="6" t="s">
        <v>292</v>
      </c>
      <c r="B9" s="7" t="s">
        <v>295</v>
      </c>
      <c r="C9" s="59" t="n">
        <v>88000</v>
      </c>
      <c r="D9" s="50"/>
      <c r="E9" s="60"/>
    </row>
    <row r="10" customFormat="false" ht="21.75" hidden="false" customHeight="true" outlineLevel="0" collapsed="false">
      <c r="A10" s="6" t="s">
        <v>292</v>
      </c>
      <c r="B10" s="7" t="s">
        <v>296</v>
      </c>
      <c r="C10" s="59" t="n">
        <v>64000</v>
      </c>
      <c r="D10" s="50"/>
      <c r="E10" s="60"/>
    </row>
    <row r="11" customFormat="false" ht="15" hidden="false" customHeight="false" outlineLevel="0" collapsed="false">
      <c r="A11" s="25"/>
      <c r="B11" s="18" t="s">
        <v>297</v>
      </c>
      <c r="C11" s="61" t="n">
        <f aca="false">SUM(C6:C10)</f>
        <v>800000</v>
      </c>
      <c r="D11" s="25"/>
      <c r="E11" s="25"/>
    </row>
    <row r="13" customFormat="false" ht="24" hidden="false" customHeight="true" outlineLevel="0" collapsed="false">
      <c r="A13" s="1" t="s">
        <v>298</v>
      </c>
    </row>
    <row r="14" customFormat="false" ht="15" hidden="false" customHeight="true" outlineLevel="0" collapsed="false">
      <c r="A14" s="2" t="s">
        <v>299</v>
      </c>
    </row>
    <row r="16" customFormat="false" ht="30" hidden="false" customHeight="true" outlineLevel="0" collapsed="false">
      <c r="A16" s="3"/>
      <c r="B16" s="4" t="s">
        <v>11</v>
      </c>
      <c r="C16" s="4" t="s">
        <v>198</v>
      </c>
      <c r="D16" s="3"/>
      <c r="E16" s="4" t="s">
        <v>300</v>
      </c>
    </row>
    <row r="17" customFormat="false" ht="24" hidden="false" customHeight="true" outlineLevel="0" collapsed="false">
      <c r="A17" s="50"/>
      <c r="B17" s="50" t="s">
        <v>290</v>
      </c>
      <c r="C17" s="36" t="n">
        <f aca="false">SUMIF($A$6:$A$10,"ウェブサイト関連費",$C$6:$C$10)</f>
        <v>398000</v>
      </c>
      <c r="D17" s="50"/>
      <c r="E17" s="20" t="s">
        <v>301</v>
      </c>
    </row>
    <row r="18" customFormat="false" ht="24" hidden="false" customHeight="true" outlineLevel="0" collapsed="false">
      <c r="A18" s="50"/>
      <c r="B18" s="50" t="s">
        <v>292</v>
      </c>
      <c r="C18" s="36" t="n">
        <f aca="false">SUMIF($A$6:$A$10,"広報費",$C$6:$C$10)</f>
        <v>402000</v>
      </c>
      <c r="D18" s="50"/>
      <c r="E18" s="20" t="s">
        <v>302</v>
      </c>
    </row>
    <row r="19" customFormat="false" ht="24" hidden="false" customHeight="true" outlineLevel="0" collapsed="false">
      <c r="A19" s="50"/>
      <c r="B19" s="50" t="s">
        <v>303</v>
      </c>
      <c r="C19" s="36" t="n">
        <f aca="false">MIN(FLOOR(C17*料金レバー!$C$31,1),料金レバー!$C$33)</f>
        <v>265333</v>
      </c>
      <c r="D19" s="50"/>
      <c r="E19" s="20" t="s">
        <v>304</v>
      </c>
    </row>
    <row r="20" customFormat="false" ht="24" hidden="false" customHeight="true" outlineLevel="0" collapsed="false">
      <c r="A20" s="50"/>
      <c r="B20" s="50" t="s">
        <v>305</v>
      </c>
      <c r="C20" s="36" t="n">
        <f aca="false">MIN(FLOOR(C18*料金レバー!$C$31,1),料金レバー!$C$32-C19)</f>
        <v>234667</v>
      </c>
      <c r="D20" s="50"/>
      <c r="E20" s="20" t="s">
        <v>306</v>
      </c>
    </row>
    <row r="21" customFormat="false" ht="24" hidden="false" customHeight="true" outlineLevel="0" collapsed="false">
      <c r="A21" s="25"/>
      <c r="B21" s="18" t="s">
        <v>307</v>
      </c>
      <c r="C21" s="62" t="n">
        <f aca="false">MIN(C19+C20,料金レバー!$C$32)</f>
        <v>500000</v>
      </c>
      <c r="D21" s="25"/>
      <c r="E21" s="63" t="s">
        <v>308</v>
      </c>
    </row>
    <row r="22" customFormat="false" ht="24" hidden="false" customHeight="true" outlineLevel="0" collapsed="false">
      <c r="A22" s="25"/>
      <c r="B22" s="18" t="s">
        <v>309</v>
      </c>
      <c r="C22" s="64" t="n">
        <f aca="false">$C$11-C21</f>
        <v>300000</v>
      </c>
      <c r="D22" s="25"/>
      <c r="E22" s="63" t="s">
        <v>310</v>
      </c>
    </row>
    <row r="24" customFormat="false" ht="24" hidden="false" customHeight="true" outlineLevel="0" collapsed="false">
      <c r="A24" s="1" t="s">
        <v>311</v>
      </c>
    </row>
    <row r="25" customFormat="false" ht="15" hidden="false" customHeight="true" outlineLevel="0" collapsed="false">
      <c r="A25" s="2" t="s">
        <v>312</v>
      </c>
    </row>
    <row r="27" customFormat="false" ht="30" hidden="false" customHeight="true" outlineLevel="0" collapsed="false">
      <c r="A27" s="4" t="s">
        <v>50</v>
      </c>
      <c r="B27" s="4" t="s">
        <v>51</v>
      </c>
      <c r="C27" s="3"/>
      <c r="D27" s="3"/>
      <c r="E27" s="3"/>
    </row>
    <row r="28" customFormat="false" ht="33.75" hidden="false" customHeight="true" outlineLevel="0" collapsed="false">
      <c r="A28" s="18" t="s">
        <v>313</v>
      </c>
      <c r="B28" s="9" t="s">
        <v>314</v>
      </c>
      <c r="C28" s="9"/>
      <c r="D28" s="9"/>
      <c r="E28" s="9"/>
    </row>
    <row r="29" customFormat="false" ht="33.75" hidden="false" customHeight="true" outlineLevel="0" collapsed="false">
      <c r="A29" s="18" t="s">
        <v>315</v>
      </c>
      <c r="B29" s="7" t="s">
        <v>316</v>
      </c>
      <c r="C29" s="7"/>
      <c r="D29" s="7"/>
      <c r="E29" s="7"/>
    </row>
    <row r="30" customFormat="false" ht="33.75" hidden="false" customHeight="true" outlineLevel="0" collapsed="false">
      <c r="A30" s="18" t="s">
        <v>317</v>
      </c>
      <c r="B30" s="7" t="s">
        <v>318</v>
      </c>
      <c r="C30" s="7"/>
      <c r="D30" s="7"/>
      <c r="E30" s="7"/>
    </row>
    <row r="31" customFormat="false" ht="33.75" hidden="false" customHeight="true" outlineLevel="0" collapsed="false">
      <c r="A31" s="18" t="s">
        <v>319</v>
      </c>
      <c r="B31" s="7" t="s">
        <v>320</v>
      </c>
      <c r="C31" s="7"/>
      <c r="D31" s="7"/>
      <c r="E31" s="7"/>
    </row>
    <row r="32" customFormat="false" ht="33.75" hidden="false" customHeight="true" outlineLevel="0" collapsed="false">
      <c r="A32" s="18" t="s">
        <v>321</v>
      </c>
      <c r="B32" s="7" t="s">
        <v>322</v>
      </c>
      <c r="C32" s="7"/>
      <c r="D32" s="7"/>
      <c r="E32" s="7"/>
    </row>
    <row r="33" customFormat="false" ht="33.75" hidden="false" customHeight="true" outlineLevel="0" collapsed="false">
      <c r="A33" s="18" t="s">
        <v>323</v>
      </c>
      <c r="B33" s="9" t="s">
        <v>324</v>
      </c>
      <c r="C33" s="9"/>
      <c r="D33" s="9"/>
      <c r="E33" s="9"/>
    </row>
    <row r="34" customFormat="false" ht="33.75" hidden="false" customHeight="true" outlineLevel="0" collapsed="false">
      <c r="A34" s="18" t="s">
        <v>325</v>
      </c>
      <c r="B34" s="9" t="s">
        <v>326</v>
      </c>
      <c r="C34" s="9"/>
      <c r="D34" s="9"/>
      <c r="E34" s="9"/>
    </row>
    <row r="35" customFormat="false" ht="33.75" hidden="false" customHeight="true" outlineLevel="0" collapsed="false">
      <c r="A35" s="18" t="s">
        <v>327</v>
      </c>
      <c r="B35" s="9" t="s">
        <v>328</v>
      </c>
      <c r="C35" s="9"/>
      <c r="D35" s="9"/>
      <c r="E35" s="9"/>
    </row>
    <row r="36" customFormat="false" ht="33.75" hidden="false" customHeight="true" outlineLevel="0" collapsed="false">
      <c r="A36" s="18" t="s">
        <v>329</v>
      </c>
      <c r="B36" s="7" t="s">
        <v>330</v>
      </c>
      <c r="C36" s="7"/>
      <c r="D36" s="7"/>
      <c r="E36" s="7"/>
    </row>
    <row r="38" customFormat="false" ht="27.75" hidden="false" customHeight="true" outlineLevel="0" collapsed="false">
      <c r="A38" s="23" t="s">
        <v>331</v>
      </c>
    </row>
  </sheetData>
  <mergeCells count="9">
    <mergeCell ref="B28:E28"/>
    <mergeCell ref="B29:E29"/>
    <mergeCell ref="B30:E30"/>
    <mergeCell ref="B31:E31"/>
    <mergeCell ref="B32:E32"/>
    <mergeCell ref="B33:E33"/>
    <mergeCell ref="B34:E34"/>
    <mergeCell ref="B35:E35"/>
    <mergeCell ref="B36:E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E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8"/>
    <col collapsed="false" customWidth="true" hidden="false" outlineLevel="0" max="4" min="4" style="0" width="24"/>
    <col collapsed="false" customWidth="true" hidden="false" outlineLevel="0" max="5" min="5" style="0" width="50"/>
  </cols>
  <sheetData>
    <row r="2" customFormat="false" ht="24" hidden="false" customHeight="true" outlineLevel="0" collapsed="false">
      <c r="A2" s="1" t="s">
        <v>332</v>
      </c>
    </row>
    <row r="3" customFormat="false" ht="15" hidden="false" customHeight="true" outlineLevel="0" collapsed="false">
      <c r="A3" s="2" t="s">
        <v>333</v>
      </c>
    </row>
    <row r="5" customFormat="false" ht="30" hidden="false" customHeight="true" outlineLevel="0" collapsed="false">
      <c r="A5" s="4" t="s">
        <v>159</v>
      </c>
      <c r="B5" s="4" t="s">
        <v>334</v>
      </c>
      <c r="C5" s="3" t="s">
        <v>335</v>
      </c>
      <c r="D5" s="4" t="s">
        <v>336</v>
      </c>
      <c r="E5" s="4" t="s">
        <v>52</v>
      </c>
    </row>
    <row r="6" customFormat="false" ht="15" hidden="false" customHeight="false" outlineLevel="0" collapsed="false">
      <c r="A6" s="6" t="s">
        <v>152</v>
      </c>
      <c r="B6" s="36" t="n">
        <f aca="false">料金レバー!$C$39</f>
        <v>0</v>
      </c>
      <c r="C6" s="36" t="n">
        <f aca="false">料金レバー!$C$38-料金レバー!$C$39</f>
        <v>11000</v>
      </c>
      <c r="D6" s="65" t="str">
        <f aca="false">IF(C6&gt;=料金レバー!$C$22,"足ります","足りません")</f>
        <v>足りません</v>
      </c>
      <c r="E6" s="60"/>
    </row>
    <row r="7" customFormat="false" ht="15" hidden="false" customHeight="false" outlineLevel="0" collapsed="false">
      <c r="A7" s="6" t="s">
        <v>120</v>
      </c>
      <c r="B7" s="36" t="n">
        <f aca="false">料金レバー!$C$38</f>
        <v>11000</v>
      </c>
      <c r="C7" s="36" t="n">
        <f aca="false">料金レバー!$C$37-料金レバー!$C$38</f>
        <v>16500</v>
      </c>
      <c r="D7" s="65" t="str">
        <f aca="false">IF(C7&gt;=料金レバー!$C$22,"足ります","足りません")</f>
        <v>足ります</v>
      </c>
      <c r="E7" s="60"/>
    </row>
    <row r="8" customFormat="false" ht="15" hidden="false" customHeight="false" outlineLevel="0" collapsed="false">
      <c r="A8" s="6" t="s">
        <v>122</v>
      </c>
      <c r="B8" s="36" t="n">
        <f aca="false">料金レバー!$C$37</f>
        <v>27500</v>
      </c>
      <c r="C8" s="36" t="n">
        <f aca="false">料金レバー!$C$36-料金レバー!$C$37</f>
        <v>27500</v>
      </c>
      <c r="D8" s="65" t="str">
        <f aca="false">IF(C8&gt;=料金レバー!$C$22,"足ります","足りません")</f>
        <v>足ります</v>
      </c>
      <c r="E8" s="60"/>
    </row>
    <row r="9" customFormat="false" ht="15" hidden="false" customHeight="false" outlineLevel="0" collapsed="false">
      <c r="A9" s="6" t="s">
        <v>151</v>
      </c>
      <c r="B9" s="36" t="n">
        <f aca="false">料金レバー!$C$36</f>
        <v>55000</v>
      </c>
      <c r="C9" s="36" t="n">
        <f aca="false">料金レバー!$C$35-料金レバー!$C$36</f>
        <v>55000</v>
      </c>
      <c r="D9" s="65" t="str">
        <f aca="false">IF(C9&gt;=料金レバー!$C$22,"足ります","足りません")</f>
        <v>足ります</v>
      </c>
      <c r="E9" s="60"/>
    </row>
    <row r="10" customFormat="false" ht="15" hidden="false" customHeight="false" outlineLevel="0" collapsed="false">
      <c r="A10" s="6" t="s">
        <v>149</v>
      </c>
      <c r="B10" s="36" t="n">
        <f aca="false">料金レバー!$C$35</f>
        <v>110000</v>
      </c>
      <c r="C10" s="33" t="s">
        <v>142</v>
      </c>
      <c r="D10" s="33" t="s">
        <v>142</v>
      </c>
      <c r="E10" s="60"/>
    </row>
    <row r="12" customFormat="false" ht="27.75" hidden="false" customHeight="true" outlineLevel="0" collapsed="false">
      <c r="A12" s="23" t="s">
        <v>337</v>
      </c>
    </row>
    <row r="14" customFormat="false" ht="24" hidden="false" customHeight="true" outlineLevel="0" collapsed="false">
      <c r="A14" s="1" t="s">
        <v>338</v>
      </c>
    </row>
    <row r="15" customFormat="false" ht="15" hidden="false" customHeight="true" outlineLevel="0" collapsed="false">
      <c r="A15" s="2" t="s">
        <v>339</v>
      </c>
    </row>
    <row r="17" customFormat="false" ht="30" hidden="false" customHeight="true" outlineLevel="0" collapsed="false">
      <c r="A17" s="3"/>
      <c r="B17" s="4" t="s">
        <v>11</v>
      </c>
      <c r="C17" s="4" t="s">
        <v>340</v>
      </c>
      <c r="D17" s="3"/>
      <c r="E17" s="4" t="s">
        <v>300</v>
      </c>
    </row>
    <row r="18" customFormat="false" ht="21.75" hidden="false" customHeight="true" outlineLevel="0" collapsed="false">
      <c r="A18" s="50"/>
      <c r="B18" s="50" t="s">
        <v>341</v>
      </c>
      <c r="C18" s="36" t="n">
        <f aca="false">料金レバー!$C$22</f>
        <v>16000</v>
      </c>
      <c r="D18" s="50"/>
      <c r="E18" s="20" t="s">
        <v>342</v>
      </c>
    </row>
    <row r="19" customFormat="false" ht="21.75" hidden="false" customHeight="true" outlineLevel="0" collapsed="false">
      <c r="A19" s="50"/>
      <c r="B19" s="50" t="s">
        <v>343</v>
      </c>
      <c r="C19" s="36" t="n">
        <f aca="false">料金レバー!$C$40</f>
        <v>220</v>
      </c>
      <c r="D19" s="50"/>
      <c r="E19" s="20" t="s">
        <v>344</v>
      </c>
    </row>
    <row r="20" customFormat="false" ht="21.75" hidden="false" customHeight="true" outlineLevel="0" collapsed="false">
      <c r="A20" s="50"/>
      <c r="B20" s="6" t="s">
        <v>345</v>
      </c>
      <c r="C20" s="66" t="n">
        <f aca="false">ROUNDDOWN(C18/C19,0)+1</f>
        <v>73</v>
      </c>
      <c r="D20" s="50"/>
      <c r="E20" s="20" t="s">
        <v>346</v>
      </c>
    </row>
    <row r="21" customFormat="false" ht="21.75" hidden="false" customHeight="true" outlineLevel="0" collapsed="false">
      <c r="A21" s="50"/>
      <c r="B21" s="6" t="s">
        <v>347</v>
      </c>
      <c r="C21" s="67" t="n">
        <f aca="false">120*C19</f>
        <v>26400</v>
      </c>
      <c r="D21" s="50"/>
      <c r="E21" s="20" t="s">
        <v>348</v>
      </c>
    </row>
    <row r="23" customFormat="false" ht="24" hidden="false" customHeight="true" outlineLevel="0" collapsed="false">
      <c r="A23" s="1" t="s">
        <v>349</v>
      </c>
    </row>
    <row r="25" customFormat="false" ht="30" hidden="false" customHeight="true" outlineLevel="0" collapsed="false">
      <c r="A25" s="4" t="s">
        <v>350</v>
      </c>
      <c r="B25" s="4" t="s">
        <v>351</v>
      </c>
      <c r="C25" s="3"/>
      <c r="D25" s="3"/>
      <c r="E25" s="4" t="s">
        <v>352</v>
      </c>
    </row>
    <row r="26" customFormat="false" ht="30" hidden="false" customHeight="true" outlineLevel="0" collapsed="false">
      <c r="A26" s="68" t="s">
        <v>353</v>
      </c>
      <c r="B26" s="49" t="s">
        <v>354</v>
      </c>
      <c r="C26" s="50"/>
      <c r="D26" s="50"/>
      <c r="E26" s="20" t="s">
        <v>355</v>
      </c>
    </row>
    <row r="27" customFormat="false" ht="30" hidden="false" customHeight="true" outlineLevel="0" collapsed="false">
      <c r="A27" s="68" t="s">
        <v>356</v>
      </c>
      <c r="B27" s="47" t="s">
        <v>357</v>
      </c>
      <c r="C27" s="50"/>
      <c r="D27" s="50"/>
      <c r="E27" s="20" t="s">
        <v>358</v>
      </c>
    </row>
    <row r="28" customFormat="false" ht="30" hidden="false" customHeight="true" outlineLevel="0" collapsed="false">
      <c r="A28" s="68" t="s">
        <v>359</v>
      </c>
      <c r="B28" s="47" t="s">
        <v>360</v>
      </c>
      <c r="C28" s="50"/>
      <c r="D28" s="50"/>
      <c r="E28" s="21" t="s">
        <v>361</v>
      </c>
    </row>
    <row r="29" customFormat="false" ht="30" hidden="false" customHeight="true" outlineLevel="0" collapsed="false">
      <c r="A29" s="68" t="s">
        <v>362</v>
      </c>
      <c r="B29" s="49" t="s">
        <v>363</v>
      </c>
      <c r="C29" s="50"/>
      <c r="D29" s="50"/>
      <c r="E29" s="20" t="s">
        <v>364</v>
      </c>
    </row>
    <row r="30" customFormat="false" ht="30" hidden="false" customHeight="true" outlineLevel="0" collapsed="false">
      <c r="A30" s="68" t="s">
        <v>365</v>
      </c>
      <c r="B30" s="47" t="s">
        <v>366</v>
      </c>
      <c r="C30" s="50"/>
      <c r="D30" s="50"/>
      <c r="E30" s="20" t="s">
        <v>367</v>
      </c>
    </row>
    <row r="32" customFormat="false" ht="27.75" hidden="false" customHeight="true" outlineLevel="0" collapsed="false">
      <c r="A32" s="23" t="s">
        <v>368</v>
      </c>
    </row>
    <row r="34" customFormat="false" ht="27.75" hidden="false" customHeight="true" outlineLevel="0" collapsed="false">
      <c r="A34" s="23" t="s">
        <v>369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40"/>
    <col collapsed="false" customWidth="true" hidden="false" outlineLevel="0" max="4" min="4" style="0" width="72"/>
  </cols>
  <sheetData>
    <row r="2" customFormat="false" ht="24" hidden="false" customHeight="true" outlineLevel="0" collapsed="false">
      <c r="A2" s="1" t="s">
        <v>370</v>
      </c>
    </row>
    <row r="3" customFormat="false" ht="15" hidden="false" customHeight="true" outlineLevel="0" collapsed="false">
      <c r="A3" s="2" t="s">
        <v>371</v>
      </c>
    </row>
    <row r="5" customFormat="false" ht="30" hidden="false" customHeight="true" outlineLevel="0" collapsed="false">
      <c r="A5" s="3" t="s">
        <v>372</v>
      </c>
      <c r="B5" s="4" t="s">
        <v>373</v>
      </c>
      <c r="C5" s="4" t="s">
        <v>50</v>
      </c>
      <c r="D5" s="4" t="s">
        <v>374</v>
      </c>
    </row>
    <row r="6" customFormat="false" ht="42" hidden="false" customHeight="true" outlineLevel="0" collapsed="false">
      <c r="A6" s="27" t="n">
        <v>1</v>
      </c>
      <c r="B6" s="69" t="s">
        <v>375</v>
      </c>
      <c r="C6" s="70" t="s">
        <v>376</v>
      </c>
      <c r="D6" s="35" t="s">
        <v>377</v>
      </c>
    </row>
    <row r="7" customFormat="false" ht="42" hidden="false" customHeight="true" outlineLevel="0" collapsed="false">
      <c r="A7" s="27" t="n">
        <v>2</v>
      </c>
      <c r="B7" s="69" t="s">
        <v>375</v>
      </c>
      <c r="C7" s="70" t="s">
        <v>378</v>
      </c>
      <c r="D7" s="35" t="s">
        <v>379</v>
      </c>
    </row>
    <row r="8" customFormat="false" ht="42" hidden="false" customHeight="true" outlineLevel="0" collapsed="false">
      <c r="A8" s="27" t="n">
        <v>3</v>
      </c>
      <c r="B8" s="69" t="s">
        <v>375</v>
      </c>
      <c r="C8" s="70" t="s">
        <v>380</v>
      </c>
      <c r="D8" s="35" t="s">
        <v>381</v>
      </c>
    </row>
    <row r="9" customFormat="false" ht="42" hidden="false" customHeight="true" outlineLevel="0" collapsed="false">
      <c r="A9" s="27" t="n">
        <v>4</v>
      </c>
      <c r="B9" s="69" t="s">
        <v>375</v>
      </c>
      <c r="C9" s="70" t="s">
        <v>382</v>
      </c>
      <c r="D9" s="35" t="s">
        <v>383</v>
      </c>
    </row>
    <row r="10" customFormat="false" ht="42" hidden="false" customHeight="true" outlineLevel="0" collapsed="false">
      <c r="A10" s="27" t="n">
        <v>5</v>
      </c>
      <c r="B10" s="69" t="s">
        <v>375</v>
      </c>
      <c r="C10" s="70" t="s">
        <v>384</v>
      </c>
      <c r="D10" s="35" t="s">
        <v>385</v>
      </c>
    </row>
    <row r="11" customFormat="false" ht="42" hidden="false" customHeight="true" outlineLevel="0" collapsed="false">
      <c r="A11" s="27" t="n">
        <v>6</v>
      </c>
      <c r="B11" s="69" t="s">
        <v>375</v>
      </c>
      <c r="C11" s="70" t="s">
        <v>386</v>
      </c>
      <c r="D11" s="35" t="s">
        <v>387</v>
      </c>
    </row>
    <row r="12" customFormat="false" ht="42" hidden="false" customHeight="true" outlineLevel="0" collapsed="false">
      <c r="A12" s="27" t="n">
        <v>7</v>
      </c>
      <c r="B12" s="69" t="s">
        <v>25</v>
      </c>
      <c r="C12" s="70" t="s">
        <v>388</v>
      </c>
      <c r="D12" s="35" t="s">
        <v>389</v>
      </c>
    </row>
    <row r="13" customFormat="false" ht="42" hidden="false" customHeight="true" outlineLevel="0" collapsed="false">
      <c r="A13" s="27" t="n">
        <v>8</v>
      </c>
      <c r="B13" s="69" t="s">
        <v>25</v>
      </c>
      <c r="C13" s="70" t="s">
        <v>390</v>
      </c>
      <c r="D13" s="35" t="s">
        <v>391</v>
      </c>
    </row>
    <row r="14" customFormat="false" ht="42" hidden="false" customHeight="true" outlineLevel="0" collapsed="false">
      <c r="A14" s="27" t="n">
        <v>9</v>
      </c>
      <c r="B14" s="69" t="s">
        <v>25</v>
      </c>
      <c r="C14" s="70" t="s">
        <v>392</v>
      </c>
      <c r="D14" s="35" t="s">
        <v>393</v>
      </c>
    </row>
    <row r="15" customFormat="false" ht="42" hidden="false" customHeight="true" outlineLevel="0" collapsed="false">
      <c r="A15" s="27" t="n">
        <v>10</v>
      </c>
      <c r="B15" s="69" t="s">
        <v>25</v>
      </c>
      <c r="C15" s="70" t="s">
        <v>394</v>
      </c>
      <c r="D15" s="35" t="s">
        <v>395</v>
      </c>
    </row>
    <row r="16" customFormat="false" ht="42" hidden="false" customHeight="true" outlineLevel="0" collapsed="false">
      <c r="A16" s="27" t="n">
        <v>11</v>
      </c>
      <c r="B16" s="69" t="s">
        <v>25</v>
      </c>
      <c r="C16" s="70" t="s">
        <v>396</v>
      </c>
      <c r="D16" s="35" t="s">
        <v>397</v>
      </c>
    </row>
    <row r="17" customFormat="false" ht="42" hidden="false" customHeight="true" outlineLevel="0" collapsed="false">
      <c r="A17" s="27" t="n">
        <v>12</v>
      </c>
      <c r="B17" s="69" t="s">
        <v>398</v>
      </c>
      <c r="C17" s="70" t="s">
        <v>399</v>
      </c>
      <c r="D17" s="44" t="s">
        <v>400</v>
      </c>
    </row>
    <row r="18" customFormat="false" ht="42" hidden="false" customHeight="true" outlineLevel="0" collapsed="false">
      <c r="A18" s="27" t="n">
        <v>13</v>
      </c>
      <c r="B18" s="69" t="s">
        <v>398</v>
      </c>
      <c r="C18" s="70" t="s">
        <v>401</v>
      </c>
      <c r="D18" s="35" t="s">
        <v>402</v>
      </c>
    </row>
    <row r="19" customFormat="false" ht="42" hidden="false" customHeight="true" outlineLevel="0" collapsed="false">
      <c r="A19" s="27" t="n">
        <v>14</v>
      </c>
      <c r="B19" s="69" t="s">
        <v>398</v>
      </c>
      <c r="C19" s="70" t="s">
        <v>403</v>
      </c>
      <c r="D19" s="35" t="s">
        <v>404</v>
      </c>
    </row>
    <row r="20" customFormat="false" ht="42" hidden="false" customHeight="true" outlineLevel="0" collapsed="false">
      <c r="A20" s="27" t="n">
        <v>15</v>
      </c>
      <c r="B20" s="69" t="s">
        <v>398</v>
      </c>
      <c r="C20" s="70" t="s">
        <v>405</v>
      </c>
      <c r="D20" s="44" t="s">
        <v>406</v>
      </c>
    </row>
    <row r="21" customFormat="false" ht="42" hidden="false" customHeight="true" outlineLevel="0" collapsed="false">
      <c r="A21" s="27" t="n">
        <v>16</v>
      </c>
      <c r="B21" s="69" t="s">
        <v>398</v>
      </c>
      <c r="C21" s="70" t="s">
        <v>407</v>
      </c>
      <c r="D21" s="35" t="s">
        <v>408</v>
      </c>
    </row>
    <row r="22" customFormat="false" ht="42" hidden="false" customHeight="true" outlineLevel="0" collapsed="false">
      <c r="A22" s="27" t="n">
        <v>17</v>
      </c>
      <c r="B22" s="69" t="s">
        <v>398</v>
      </c>
      <c r="C22" s="70" t="s">
        <v>409</v>
      </c>
      <c r="D22" s="44" t="s">
        <v>410</v>
      </c>
    </row>
    <row r="23" customFormat="false" ht="42" hidden="false" customHeight="true" outlineLevel="0" collapsed="false">
      <c r="A23" s="27" t="n">
        <v>18</v>
      </c>
      <c r="B23" s="69" t="s">
        <v>411</v>
      </c>
      <c r="C23" s="71" t="s">
        <v>412</v>
      </c>
      <c r="D23" s="44" t="s">
        <v>413</v>
      </c>
    </row>
    <row r="24" customFormat="false" ht="42" hidden="false" customHeight="true" outlineLevel="0" collapsed="false">
      <c r="A24" s="27" t="n">
        <v>19</v>
      </c>
      <c r="B24" s="69" t="s">
        <v>411</v>
      </c>
      <c r="C24" s="70" t="s">
        <v>414</v>
      </c>
      <c r="D24" s="35" t="s">
        <v>415</v>
      </c>
    </row>
    <row r="25" customFormat="false" ht="42" hidden="false" customHeight="true" outlineLevel="0" collapsed="false">
      <c r="A25" s="27" t="n">
        <v>20</v>
      </c>
      <c r="B25" s="69" t="s">
        <v>411</v>
      </c>
      <c r="C25" s="70" t="s">
        <v>416</v>
      </c>
      <c r="D25" s="44" t="s">
        <v>417</v>
      </c>
    </row>
    <row r="27" customFormat="false" ht="24" hidden="false" customHeight="true" outlineLevel="0" collapsed="false">
      <c r="A27" s="1" t="s">
        <v>418</v>
      </c>
    </row>
    <row r="29" customFormat="false" ht="29.85" hidden="false" customHeight="false" outlineLevel="0" collapsed="false">
      <c r="A29" s="50"/>
      <c r="B29" s="72" t="s">
        <v>375</v>
      </c>
      <c r="C29" s="7" t="s">
        <v>419</v>
      </c>
      <c r="D29" s="50"/>
    </row>
    <row r="30" customFormat="false" ht="15" hidden="false" customHeight="false" outlineLevel="0" collapsed="false">
      <c r="A30" s="50"/>
      <c r="B30" s="72" t="s">
        <v>25</v>
      </c>
      <c r="C30" s="7" t="s">
        <v>420</v>
      </c>
      <c r="D30" s="50"/>
    </row>
    <row r="31" customFormat="false" ht="29.85" hidden="false" customHeight="false" outlineLevel="0" collapsed="false">
      <c r="A31" s="50"/>
      <c r="B31" s="72" t="s">
        <v>398</v>
      </c>
      <c r="C31" s="7" t="s">
        <v>421</v>
      </c>
      <c r="D31" s="50"/>
    </row>
    <row r="32" customFormat="false" ht="15" hidden="false" customHeight="false" outlineLevel="0" collapsed="false">
      <c r="A32" s="50"/>
      <c r="B32" s="72" t="s">
        <v>411</v>
      </c>
      <c r="C32" s="7" t="s">
        <v>422</v>
      </c>
      <c r="D32" s="5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B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78"/>
  </cols>
  <sheetData>
    <row r="2" customFormat="false" ht="24" hidden="false" customHeight="true" outlineLevel="0" collapsed="false">
      <c r="A2" s="1" t="s">
        <v>423</v>
      </c>
    </row>
    <row r="3" customFormat="false" ht="15" hidden="false" customHeight="true" outlineLevel="0" collapsed="false">
      <c r="A3" s="2" t="s">
        <v>424</v>
      </c>
    </row>
    <row r="5" customFormat="false" ht="30" hidden="false" customHeight="true" outlineLevel="0" collapsed="false">
      <c r="A5" s="4" t="s">
        <v>28</v>
      </c>
      <c r="B5" s="4" t="s">
        <v>425</v>
      </c>
    </row>
    <row r="6" customFormat="false" ht="43.5" hidden="false" customHeight="true" outlineLevel="0" collapsed="false">
      <c r="A6" s="73" t="s">
        <v>426</v>
      </c>
      <c r="B6" s="9" t="s">
        <v>427</v>
      </c>
    </row>
    <row r="7" customFormat="false" ht="43.5" hidden="false" customHeight="true" outlineLevel="0" collapsed="false">
      <c r="A7" s="73" t="s">
        <v>428</v>
      </c>
      <c r="B7" s="9" t="s">
        <v>429</v>
      </c>
    </row>
    <row r="8" customFormat="false" ht="43.5" hidden="false" customHeight="true" outlineLevel="0" collapsed="false">
      <c r="A8" s="73" t="s">
        <v>430</v>
      </c>
      <c r="B8" s="9" t="s">
        <v>431</v>
      </c>
    </row>
    <row r="9" customFormat="false" ht="43.5" hidden="false" customHeight="true" outlineLevel="0" collapsed="false">
      <c r="A9" s="74" t="s">
        <v>432</v>
      </c>
      <c r="B9" s="9" t="s">
        <v>433</v>
      </c>
    </row>
    <row r="10" customFormat="false" ht="43.5" hidden="false" customHeight="true" outlineLevel="0" collapsed="false">
      <c r="A10" s="74" t="s">
        <v>434</v>
      </c>
      <c r="B10" s="9" t="s">
        <v>435</v>
      </c>
    </row>
    <row r="12" customFormat="false" ht="27.75" hidden="false" customHeight="true" outlineLevel="0" collapsed="false">
      <c r="A12" s="23" t="s">
        <v>436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F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12"/>
    <col collapsed="false" customWidth="true" hidden="false" outlineLevel="0" max="5" min="4" style="0" width="44"/>
    <col collapsed="false" customWidth="true" hidden="false" outlineLevel="0" max="6" min="6" style="0" width="40"/>
  </cols>
  <sheetData>
    <row r="2" customFormat="false" ht="24" hidden="false" customHeight="true" outlineLevel="0" collapsed="false">
      <c r="A2" s="1" t="s">
        <v>437</v>
      </c>
    </row>
    <row r="3" customFormat="false" ht="15" hidden="false" customHeight="true" outlineLevel="0" collapsed="false">
      <c r="A3" s="2" t="s">
        <v>438</v>
      </c>
    </row>
    <row r="5" customFormat="false" ht="30" hidden="false" customHeight="true" outlineLevel="0" collapsed="false">
      <c r="A5" s="4" t="s">
        <v>439</v>
      </c>
      <c r="B5" s="4" t="s">
        <v>440</v>
      </c>
      <c r="C5" s="4" t="s">
        <v>441</v>
      </c>
      <c r="D5" s="4" t="s">
        <v>442</v>
      </c>
      <c r="E5" s="4" t="s">
        <v>443</v>
      </c>
      <c r="F5" s="4" t="s">
        <v>444</v>
      </c>
    </row>
    <row r="6" customFormat="false" ht="117.75" hidden="false" customHeight="true" outlineLevel="0" collapsed="false">
      <c r="A6" s="6" t="s">
        <v>445</v>
      </c>
      <c r="B6" s="75" t="s">
        <v>446</v>
      </c>
      <c r="C6" s="33" t="s">
        <v>447</v>
      </c>
      <c r="D6" s="35" t="s">
        <v>448</v>
      </c>
      <c r="E6" s="76" t="s">
        <v>449</v>
      </c>
      <c r="F6" s="20" t="s">
        <v>450</v>
      </c>
    </row>
    <row r="7" customFormat="false" ht="117.75" hidden="false" customHeight="true" outlineLevel="0" collapsed="false">
      <c r="A7" s="6" t="s">
        <v>451</v>
      </c>
      <c r="B7" s="75" t="s">
        <v>452</v>
      </c>
      <c r="C7" s="33" t="s">
        <v>453</v>
      </c>
      <c r="D7" s="35" t="s">
        <v>454</v>
      </c>
      <c r="E7" s="76" t="s">
        <v>455</v>
      </c>
      <c r="F7" s="20" t="s">
        <v>456</v>
      </c>
    </row>
    <row r="8" customFormat="false" ht="117.75" hidden="false" customHeight="true" outlineLevel="0" collapsed="false">
      <c r="A8" s="6" t="s">
        <v>457</v>
      </c>
      <c r="B8" s="75" t="s">
        <v>446</v>
      </c>
      <c r="C8" s="33" t="s">
        <v>458</v>
      </c>
      <c r="D8" s="35" t="s">
        <v>459</v>
      </c>
      <c r="E8" s="76" t="s">
        <v>460</v>
      </c>
      <c r="F8" s="20" t="s">
        <v>461</v>
      </c>
    </row>
    <row r="9" customFormat="false" ht="117.75" hidden="false" customHeight="true" outlineLevel="0" collapsed="false">
      <c r="A9" s="6" t="s">
        <v>462</v>
      </c>
      <c r="B9" s="75" t="s">
        <v>452</v>
      </c>
      <c r="C9" s="33" t="s">
        <v>463</v>
      </c>
      <c r="D9" s="35" t="s">
        <v>464</v>
      </c>
      <c r="E9" s="76" t="s">
        <v>465</v>
      </c>
      <c r="F9" s="20" t="s">
        <v>466</v>
      </c>
    </row>
    <row r="11" customFormat="false" ht="27.75" hidden="false" customHeight="true" outlineLevel="0" collapsed="false">
      <c r="A11" s="23" t="s">
        <v>467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D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26"/>
    <col collapsed="false" customWidth="true" hidden="false" outlineLevel="0" max="4" min="4" style="0" width="60"/>
  </cols>
  <sheetData>
    <row r="2" customFormat="false" ht="24" hidden="false" customHeight="true" outlineLevel="0" collapsed="false">
      <c r="A2" s="1" t="s">
        <v>468</v>
      </c>
    </row>
    <row r="3" customFormat="false" ht="15" hidden="false" customHeight="true" outlineLevel="0" collapsed="false">
      <c r="A3" s="2" t="s">
        <v>469</v>
      </c>
    </row>
    <row r="5" customFormat="false" ht="30" hidden="false" customHeight="true" outlineLevel="0" collapsed="false">
      <c r="A5" s="3" t="s">
        <v>372</v>
      </c>
      <c r="B5" s="4" t="s">
        <v>470</v>
      </c>
      <c r="C5" s="4" t="s">
        <v>471</v>
      </c>
      <c r="D5" s="4" t="s">
        <v>472</v>
      </c>
    </row>
    <row r="6" customFormat="false" ht="15" hidden="false" customHeight="false" outlineLevel="0" collapsed="false">
      <c r="A6" s="27" t="n">
        <v>1</v>
      </c>
      <c r="B6" s="77" t="s">
        <v>473</v>
      </c>
      <c r="C6" s="6" t="s">
        <v>474</v>
      </c>
      <c r="D6" s="20" t="s">
        <v>475</v>
      </c>
    </row>
    <row r="7" customFormat="false" ht="15" hidden="false" customHeight="false" outlineLevel="0" collapsed="false">
      <c r="A7" s="27" t="n">
        <v>2</v>
      </c>
      <c r="B7" s="77" t="s">
        <v>476</v>
      </c>
      <c r="C7" s="6" t="s">
        <v>477</v>
      </c>
      <c r="D7" s="20" t="s">
        <v>478</v>
      </c>
    </row>
    <row r="8" customFormat="false" ht="15" hidden="false" customHeight="false" outlineLevel="0" collapsed="false">
      <c r="A8" s="27" t="n">
        <v>3</v>
      </c>
      <c r="B8" s="77" t="s">
        <v>479</v>
      </c>
      <c r="C8" s="6" t="s">
        <v>480</v>
      </c>
      <c r="D8" s="20" t="s">
        <v>481</v>
      </c>
    </row>
    <row r="9" customFormat="false" ht="15" hidden="false" customHeight="false" outlineLevel="0" collapsed="false">
      <c r="A9" s="27" t="n">
        <v>4</v>
      </c>
      <c r="B9" s="77" t="s">
        <v>482</v>
      </c>
      <c r="C9" s="6" t="s">
        <v>483</v>
      </c>
      <c r="D9" s="20" t="s">
        <v>484</v>
      </c>
    </row>
    <row r="10" customFormat="false" ht="15" hidden="false" customHeight="false" outlineLevel="0" collapsed="false">
      <c r="A10" s="27" t="n">
        <v>5</v>
      </c>
      <c r="B10" s="77" t="s">
        <v>485</v>
      </c>
      <c r="C10" s="6" t="s">
        <v>486</v>
      </c>
      <c r="D10" s="20" t="s">
        <v>487</v>
      </c>
    </row>
    <row r="11" customFormat="false" ht="15" hidden="false" customHeight="false" outlineLevel="0" collapsed="false">
      <c r="A11" s="27" t="n">
        <v>6</v>
      </c>
      <c r="B11" s="77" t="s">
        <v>488</v>
      </c>
      <c r="C11" s="6" t="s">
        <v>489</v>
      </c>
      <c r="D11" s="20" t="s">
        <v>490</v>
      </c>
    </row>
    <row r="12" customFormat="false" ht="15" hidden="false" customHeight="false" outlineLevel="0" collapsed="false">
      <c r="A12" s="27" t="n">
        <v>7</v>
      </c>
      <c r="B12" s="77" t="s">
        <v>491</v>
      </c>
      <c r="C12" s="6" t="s">
        <v>21</v>
      </c>
      <c r="D12" s="20" t="s">
        <v>492</v>
      </c>
    </row>
    <row r="13" customFormat="false" ht="15" hidden="false" customHeight="false" outlineLevel="0" collapsed="false">
      <c r="A13" s="27" t="n">
        <v>8</v>
      </c>
      <c r="B13" s="77" t="s">
        <v>493</v>
      </c>
      <c r="C13" s="6" t="s">
        <v>494</v>
      </c>
      <c r="D13" s="20" t="s">
        <v>495</v>
      </c>
    </row>
    <row r="14" customFormat="false" ht="15" hidden="false" customHeight="false" outlineLevel="0" collapsed="false">
      <c r="A14" s="27" t="n">
        <v>9</v>
      </c>
      <c r="B14" s="77" t="s">
        <v>496</v>
      </c>
      <c r="C14" s="6" t="s">
        <v>497</v>
      </c>
      <c r="D14" s="20" t="s">
        <v>497</v>
      </c>
    </row>
    <row r="15" customFormat="false" ht="15" hidden="false" customHeight="false" outlineLevel="0" collapsed="false">
      <c r="A15" s="27" t="n">
        <v>10</v>
      </c>
      <c r="B15" s="77" t="s">
        <v>498</v>
      </c>
      <c r="C15" s="6" t="s">
        <v>499</v>
      </c>
      <c r="D15" s="20" t="s">
        <v>500</v>
      </c>
    </row>
    <row r="16" customFormat="false" ht="15" hidden="false" customHeight="false" outlineLevel="0" collapsed="false">
      <c r="A16" s="27" t="n">
        <v>11</v>
      </c>
      <c r="B16" s="77" t="s">
        <v>501</v>
      </c>
      <c r="C16" s="6" t="s">
        <v>502</v>
      </c>
      <c r="D16" s="20" t="s">
        <v>503</v>
      </c>
    </row>
    <row r="17" customFormat="false" ht="15" hidden="false" customHeight="false" outlineLevel="0" collapsed="false">
      <c r="A17" s="27" t="n">
        <v>12</v>
      </c>
      <c r="B17" s="77" t="s">
        <v>504</v>
      </c>
      <c r="C17" s="6" t="s">
        <v>505</v>
      </c>
      <c r="D17" s="21" t="s">
        <v>506</v>
      </c>
    </row>
    <row r="18" customFormat="false" ht="15" hidden="false" customHeight="false" outlineLevel="0" collapsed="false">
      <c r="A18" s="27" t="n">
        <v>13</v>
      </c>
      <c r="B18" s="77" t="s">
        <v>507</v>
      </c>
      <c r="C18" s="6" t="s">
        <v>508</v>
      </c>
      <c r="D18" s="20" t="s">
        <v>509</v>
      </c>
    </row>
    <row r="19" customFormat="false" ht="15" hidden="false" customHeight="false" outlineLevel="0" collapsed="false">
      <c r="A19" s="27" t="n">
        <v>14</v>
      </c>
      <c r="B19" s="77" t="s">
        <v>510</v>
      </c>
      <c r="C19" s="6" t="s">
        <v>511</v>
      </c>
      <c r="D19" s="20" t="s">
        <v>512</v>
      </c>
    </row>
    <row r="20" customFormat="false" ht="15" hidden="false" customHeight="false" outlineLevel="0" collapsed="false">
      <c r="A20" s="27" t="n">
        <v>15</v>
      </c>
      <c r="B20" s="77" t="s">
        <v>513</v>
      </c>
      <c r="C20" s="6" t="s">
        <v>514</v>
      </c>
      <c r="D20" s="20" t="s">
        <v>515</v>
      </c>
    </row>
    <row r="21" customFormat="false" ht="15" hidden="false" customHeight="false" outlineLevel="0" collapsed="false">
      <c r="A21" s="27" t="n">
        <v>16</v>
      </c>
      <c r="B21" s="77" t="s">
        <v>516</v>
      </c>
      <c r="C21" s="6" t="s">
        <v>517</v>
      </c>
      <c r="D21" s="20" t="s">
        <v>517</v>
      </c>
    </row>
    <row r="22" customFormat="false" ht="15" hidden="false" customHeight="false" outlineLevel="0" collapsed="false">
      <c r="A22" s="27" t="n">
        <v>17</v>
      </c>
      <c r="B22" s="77" t="s">
        <v>518</v>
      </c>
      <c r="C22" s="6" t="s">
        <v>519</v>
      </c>
      <c r="D22" s="20" t="s">
        <v>520</v>
      </c>
    </row>
    <row r="23" customFormat="false" ht="15" hidden="false" customHeight="false" outlineLevel="0" collapsed="false">
      <c r="A23" s="27" t="n">
        <v>18</v>
      </c>
      <c r="B23" s="77" t="s">
        <v>521</v>
      </c>
      <c r="C23" s="6" t="s">
        <v>522</v>
      </c>
      <c r="D23" s="20" t="s">
        <v>523</v>
      </c>
    </row>
    <row r="24" customFormat="false" ht="15" hidden="false" customHeight="false" outlineLevel="0" collapsed="false">
      <c r="A24" s="27" t="n">
        <v>19</v>
      </c>
      <c r="B24" s="77" t="s">
        <v>524</v>
      </c>
      <c r="C24" s="6" t="s">
        <v>525</v>
      </c>
      <c r="D24" s="20" t="s">
        <v>526</v>
      </c>
    </row>
    <row r="25" customFormat="false" ht="15" hidden="false" customHeight="false" outlineLevel="0" collapsed="false">
      <c r="A25" s="27" t="n">
        <v>20</v>
      </c>
      <c r="B25" s="77" t="s">
        <v>527</v>
      </c>
      <c r="C25" s="6" t="s">
        <v>528</v>
      </c>
      <c r="D25" s="20" t="s">
        <v>529</v>
      </c>
    </row>
    <row r="26" customFormat="false" ht="15" hidden="false" customHeight="false" outlineLevel="0" collapsed="false">
      <c r="A26" s="27" t="n">
        <v>21</v>
      </c>
      <c r="B26" s="77" t="s">
        <v>530</v>
      </c>
      <c r="C26" s="6" t="s">
        <v>531</v>
      </c>
      <c r="D26" s="20" t="s">
        <v>532</v>
      </c>
    </row>
    <row r="28" customFormat="false" ht="27.75" hidden="false" customHeight="true" outlineLevel="0" collapsed="false">
      <c r="A28" s="23" t="s">
        <v>533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E7A45"/>
    <pageSetUpPr fitToPage="true"/>
  </sheetPr>
  <dimension ref="A2: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5" min="3" style="0" width="15"/>
    <col collapsed="false" customWidth="true" hidden="false" outlineLevel="0" max="6" min="6" style="0" width="16"/>
    <col collapsed="false" customWidth="true" hidden="false" outlineLevel="0" max="7" min="7" style="0" width="40"/>
  </cols>
  <sheetData>
    <row r="2" customFormat="false" ht="24" hidden="false" customHeight="true" outlineLevel="0" collapsed="false">
      <c r="A2" s="1" t="s">
        <v>534</v>
      </c>
    </row>
    <row r="3" customFormat="false" ht="15" hidden="false" customHeight="true" outlineLevel="0" collapsed="false">
      <c r="A3" s="2" t="s">
        <v>535</v>
      </c>
    </row>
    <row r="5" customFormat="false" ht="30" hidden="false" customHeight="true" outlineLevel="0" collapsed="false">
      <c r="A5" s="4" t="s">
        <v>159</v>
      </c>
      <c r="B5" s="4" t="s">
        <v>536</v>
      </c>
      <c r="C5" s="4" t="s">
        <v>162</v>
      </c>
      <c r="D5" s="4" t="s">
        <v>163</v>
      </c>
      <c r="E5" s="4" t="s">
        <v>537</v>
      </c>
      <c r="F5" s="4" t="s">
        <v>538</v>
      </c>
      <c r="G5" s="4" t="s">
        <v>168</v>
      </c>
    </row>
    <row r="6" customFormat="false" ht="30" hidden="false" customHeight="true" outlineLevel="0" collapsed="false">
      <c r="A6" s="6" t="s">
        <v>99</v>
      </c>
      <c r="B6" s="78" t="s">
        <v>539</v>
      </c>
      <c r="C6" s="32" t="n">
        <f aca="false">料金レバー!$C$7</f>
        <v>39800</v>
      </c>
      <c r="D6" s="33" t="s">
        <v>142</v>
      </c>
      <c r="E6" s="33" t="s">
        <v>142</v>
      </c>
      <c r="F6" s="33" t="s">
        <v>142</v>
      </c>
      <c r="G6" s="35" t="s">
        <v>169</v>
      </c>
    </row>
    <row r="7" customFormat="false" ht="30" hidden="false" customHeight="true" outlineLevel="0" collapsed="false">
      <c r="A7" s="6" t="s">
        <v>122</v>
      </c>
      <c r="B7" s="78" t="s">
        <v>540</v>
      </c>
      <c r="C7" s="32" t="n">
        <f aca="false">料金レバー!$C$8</f>
        <v>198000</v>
      </c>
      <c r="D7" s="36" t="n">
        <f aca="false">料金レバー!$C$13</f>
        <v>30000</v>
      </c>
      <c r="E7" s="36" t="n">
        <f aca="false">料金レバー!$C$14</f>
        <v>7000</v>
      </c>
      <c r="F7" s="32" t="n">
        <f aca="false">料金レバー!$C$14+料金レバー!$C$21</f>
        <v>16800</v>
      </c>
      <c r="G7" s="35" t="s">
        <v>103</v>
      </c>
    </row>
    <row r="8" customFormat="false" ht="30" hidden="false" customHeight="true" outlineLevel="0" collapsed="false">
      <c r="A8" s="38" t="s">
        <v>170</v>
      </c>
      <c r="B8" s="79" t="s">
        <v>541</v>
      </c>
      <c r="C8" s="40" t="n">
        <f aca="false">料金レバー!$C$9</f>
        <v>398000</v>
      </c>
      <c r="D8" s="41" t="n">
        <f aca="false">料金レバー!$C$15</f>
        <v>110000</v>
      </c>
      <c r="E8" s="41" t="n">
        <f aca="false">料金レバー!$C$16</f>
        <v>12000</v>
      </c>
      <c r="F8" s="40" t="n">
        <f aca="false">料金レバー!$C$16+料金レバー!$C$22</f>
        <v>28000</v>
      </c>
      <c r="G8" s="43" t="s">
        <v>105</v>
      </c>
    </row>
    <row r="9" customFormat="false" ht="30" hidden="false" customHeight="true" outlineLevel="0" collapsed="false">
      <c r="A9" s="6" t="s">
        <v>171</v>
      </c>
      <c r="B9" s="78" t="s">
        <v>542</v>
      </c>
      <c r="C9" s="32" t="n">
        <f aca="false">料金レバー!$C$10</f>
        <v>698000</v>
      </c>
      <c r="D9" s="36" t="n">
        <f aca="false">料金レバー!$C$17</f>
        <v>218000</v>
      </c>
      <c r="E9" s="36" t="n">
        <f aca="false">料金レバー!$C$18</f>
        <v>20000</v>
      </c>
      <c r="F9" s="32" t="n">
        <f aca="false">料金レバー!$C$18+料金レバー!$C$23</f>
        <v>49800</v>
      </c>
      <c r="G9" s="35" t="s">
        <v>107</v>
      </c>
    </row>
    <row r="11" customFormat="false" ht="27.75" hidden="false" customHeight="true" outlineLevel="0" collapsed="false">
      <c r="A11" s="23" t="s">
        <v>543</v>
      </c>
    </row>
    <row r="13" customFormat="false" ht="24" hidden="false" customHeight="true" outlineLevel="0" collapsed="false">
      <c r="A13" s="1" t="s">
        <v>544</v>
      </c>
    </row>
    <row r="14" customFormat="false" ht="15" hidden="false" customHeight="true" outlineLevel="0" collapsed="false">
      <c r="A14" s="2" t="s">
        <v>545</v>
      </c>
    </row>
    <row r="16" customFormat="false" ht="30" hidden="false" customHeight="true" outlineLevel="0" collapsed="false">
      <c r="A16" s="4" t="s">
        <v>159</v>
      </c>
      <c r="B16" s="3"/>
      <c r="C16" s="4" t="s">
        <v>186</v>
      </c>
      <c r="D16" s="3"/>
      <c r="E16" s="3"/>
      <c r="F16" s="3"/>
      <c r="G16" s="4" t="s">
        <v>188</v>
      </c>
    </row>
    <row r="17" customFormat="false" ht="45.75" hidden="false" customHeight="true" outlineLevel="0" collapsed="false">
      <c r="A17" s="6" t="s">
        <v>120</v>
      </c>
      <c r="B17" s="50"/>
      <c r="C17" s="32" t="n">
        <f aca="false">料金レバー!$C$20</f>
        <v>5800</v>
      </c>
      <c r="D17" s="50"/>
      <c r="E17" s="50"/>
      <c r="F17" s="50"/>
      <c r="G17" s="35" t="s">
        <v>190</v>
      </c>
    </row>
    <row r="18" customFormat="false" ht="45.75" hidden="false" customHeight="true" outlineLevel="0" collapsed="false">
      <c r="A18" s="6" t="s">
        <v>122</v>
      </c>
      <c r="B18" s="50"/>
      <c r="C18" s="32" t="n">
        <f aca="false">料金レバー!$C$21</f>
        <v>9800</v>
      </c>
      <c r="D18" s="50"/>
      <c r="E18" s="50"/>
      <c r="F18" s="50"/>
      <c r="G18" s="35" t="s">
        <v>191</v>
      </c>
    </row>
    <row r="19" customFormat="false" ht="45.75" hidden="false" customHeight="true" outlineLevel="0" collapsed="false">
      <c r="A19" s="38" t="s">
        <v>170</v>
      </c>
      <c r="B19" s="80"/>
      <c r="C19" s="40" t="n">
        <f aca="false">料金レバー!$C$22</f>
        <v>16000</v>
      </c>
      <c r="D19" s="80"/>
      <c r="E19" s="80"/>
      <c r="F19" s="80"/>
      <c r="G19" s="43" t="s">
        <v>193</v>
      </c>
    </row>
    <row r="20" customFormat="false" ht="45.75" hidden="false" customHeight="true" outlineLevel="0" collapsed="false">
      <c r="A20" s="6" t="s">
        <v>126</v>
      </c>
      <c r="B20" s="50"/>
      <c r="C20" s="32" t="n">
        <f aca="false">料金レバー!$C$23</f>
        <v>29800</v>
      </c>
      <c r="D20" s="50"/>
      <c r="E20" s="50"/>
      <c r="F20" s="50"/>
      <c r="G20" s="35" t="s">
        <v>194</v>
      </c>
    </row>
    <row r="22" customFormat="false" ht="24" hidden="false" customHeight="true" outlineLevel="0" collapsed="false">
      <c r="A22" s="1" t="s">
        <v>546</v>
      </c>
    </row>
    <row r="24" customFormat="false" ht="21.75" hidden="false" customHeight="true" outlineLevel="0" collapsed="false">
      <c r="A24" s="48" t="s">
        <v>547</v>
      </c>
      <c r="B24" s="47" t="s">
        <v>216</v>
      </c>
      <c r="C24" s="47"/>
      <c r="D24" s="47"/>
      <c r="E24" s="20" t="s">
        <v>218</v>
      </c>
      <c r="F24" s="20"/>
      <c r="G24" s="20"/>
    </row>
    <row r="25" customFormat="false" ht="21.75" hidden="false" customHeight="true" outlineLevel="0" collapsed="false">
      <c r="A25" s="48" t="s">
        <v>547</v>
      </c>
      <c r="B25" s="47" t="s">
        <v>219</v>
      </c>
      <c r="C25" s="47"/>
      <c r="D25" s="47"/>
      <c r="E25" s="21" t="s">
        <v>220</v>
      </c>
      <c r="F25" s="21"/>
      <c r="G25" s="21"/>
    </row>
    <row r="26" customFormat="false" ht="21.75" hidden="false" customHeight="true" outlineLevel="0" collapsed="false">
      <c r="A26" s="48" t="s">
        <v>547</v>
      </c>
      <c r="B26" s="47" t="s">
        <v>221</v>
      </c>
      <c r="C26" s="47"/>
      <c r="D26" s="47"/>
      <c r="E26" s="21" t="s">
        <v>222</v>
      </c>
      <c r="F26" s="21"/>
      <c r="G26" s="21"/>
    </row>
    <row r="27" customFormat="false" ht="21.75" hidden="false" customHeight="true" outlineLevel="0" collapsed="false">
      <c r="A27" s="48" t="s">
        <v>547</v>
      </c>
      <c r="B27" s="47" t="s">
        <v>223</v>
      </c>
      <c r="C27" s="47"/>
      <c r="D27" s="47"/>
      <c r="E27" s="21" t="s">
        <v>224</v>
      </c>
      <c r="F27" s="21"/>
      <c r="G27" s="21"/>
    </row>
    <row r="28" customFormat="false" ht="21.75" hidden="false" customHeight="true" outlineLevel="0" collapsed="false">
      <c r="A28" s="48" t="s">
        <v>547</v>
      </c>
      <c r="B28" s="49" t="s">
        <v>225</v>
      </c>
      <c r="C28" s="49"/>
      <c r="D28" s="49"/>
      <c r="E28" s="21" t="s">
        <v>226</v>
      </c>
      <c r="F28" s="21"/>
      <c r="G28" s="21"/>
    </row>
    <row r="30" customFormat="false" ht="27.75" hidden="false" customHeight="true" outlineLevel="0" collapsed="false">
      <c r="A30" s="23" t="s">
        <v>548</v>
      </c>
    </row>
    <row r="32" customFormat="false" ht="27.75" hidden="false" customHeight="true" outlineLevel="0" collapsed="false">
      <c r="A32" s="23" t="s">
        <v>549</v>
      </c>
    </row>
  </sheetData>
  <mergeCells count="10">
    <mergeCell ref="B24:D24"/>
    <mergeCell ref="E24:G24"/>
    <mergeCell ref="B25:D25"/>
    <mergeCell ref="E25:G25"/>
    <mergeCell ref="B26:D26"/>
    <mergeCell ref="E26:G26"/>
    <mergeCell ref="B27:D27"/>
    <mergeCell ref="E27:G27"/>
    <mergeCell ref="B28:D28"/>
    <mergeCell ref="E28:G28"/>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E7A45"/>
    <pageSetUpPr fitToPage="true"/>
  </sheetPr>
  <dimension ref="A2:E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
    <col collapsed="false" customWidth="true" hidden="false" outlineLevel="0" max="4" min="3" style="0" width="26"/>
    <col collapsed="false" customWidth="true" hidden="false" outlineLevel="0" max="5" min="5" style="0" width="20"/>
  </cols>
  <sheetData>
    <row r="2" customFormat="false" ht="24" hidden="false" customHeight="true" outlineLevel="0" collapsed="false">
      <c r="A2" s="1" t="s">
        <v>550</v>
      </c>
    </row>
    <row r="3" customFormat="false" ht="15" hidden="false" customHeight="true" outlineLevel="0" collapsed="false">
      <c r="A3" s="2" t="s">
        <v>551</v>
      </c>
    </row>
    <row r="5" customFormat="false" ht="30" hidden="false" customHeight="true" outlineLevel="0" collapsed="false">
      <c r="A5" s="4" t="s">
        <v>552</v>
      </c>
      <c r="B5" s="4" t="s">
        <v>160</v>
      </c>
      <c r="C5" s="4" t="s">
        <v>272</v>
      </c>
      <c r="D5" s="4" t="s">
        <v>553</v>
      </c>
      <c r="E5" s="4" t="s">
        <v>554</v>
      </c>
    </row>
    <row r="6" customFormat="false" ht="43.5" hidden="false" customHeight="true" outlineLevel="0" collapsed="false">
      <c r="A6" s="81" t="s">
        <v>555</v>
      </c>
      <c r="B6" s="31" t="n">
        <v>1</v>
      </c>
      <c r="C6" s="19" t="str">
        <f aca="false">_xlfn.CONCAT("月",TEXT(料金レバー!$C$26,"#,##0"),"円 × ",料金レバー!$C$25,"か月",CHAR(10),"＝ ",TEXT((料金レバー!$C$29+料金レバー!$C$26*料金レバー!$C$25),"#,##0"),"円")</f>
        <v>月9,800円 × 36か月
＝ 357,800円</v>
      </c>
      <c r="D6" s="19" t="str">
        <f aca="false">_xlfn.CONCAT("買い切り",TEXT(料金レバー!$C$7,"#,##0"),"円 ＋ 運用 月",TEXT(料金レバー!$C$20,"#,##0"),"円",CHAR(10),"＝ ",TEXT((料金レバー!$C$7+料金レバー!$C$20*料金レバー!$C$25),"#,##0"),"円")</f>
        <v>買い切り39,800円 ＋ 運用 月5,800円
＝ 248,600円</v>
      </c>
      <c r="E6" s="48" t="str">
        <f aca="false">TEXT(ABS((料金レバー!$C$7+料金レバー!$C$20*料金レバー!$C$25)-(料金レバー!$C$29+料金レバー!$C$26*料金レバー!$C$25)),"#,##0")&amp;"円 "&amp;IF((料金レバー!$C$7+料金レバー!$C$20*料金レバー!$C$25)&gt;(料金レバー!$C$29+料金レバー!$C$26*料金レバー!$C$25),"高い","安い")</f>
        <v>109,200円 安い</v>
      </c>
    </row>
    <row r="7" customFormat="false" ht="43.5" hidden="false" customHeight="true" outlineLevel="0" collapsed="false">
      <c r="A7" s="81" t="s">
        <v>556</v>
      </c>
      <c r="B7" s="31" t="n">
        <v>6</v>
      </c>
      <c r="C7" s="19" t="str">
        <f aca="false">_xlfn.CONCAT("月",TEXT(料金レバー!$C$27,"#,##0"),"円 × ",料金レバー!$C$25,"か月",CHAR(10),"＝ ",TEXT((料金レバー!$C$29+料金レバー!$C$27*料金レバー!$C$25),"#,##0"),"円")</f>
        <v>月14,800円 × 36か月
＝ 537,800円</v>
      </c>
      <c r="D7" s="19" t="str">
        <f aca="false">_xlfn.CONCAT("買い切り",TEXT(料金レバー!$C$8,"#,##0"),"円 ＋ 運用 月",TEXT(料金レバー!$C$21,"#,##0"),"円",CHAR(10),"＝ ",TEXT((料金レバー!$C$8+料金レバー!$C$21*料金レバー!$C$25),"#,##0"),"円")</f>
        <v>買い切り198,000円 ＋ 運用 月9,800円
＝ 550,800円</v>
      </c>
      <c r="E7" s="82" t="str">
        <f aca="false">TEXT(ABS((料金レバー!$C$8+料金レバー!$C$21*料金レバー!$C$25)-(料金レバー!$C$29+料金レバー!$C$27*料金レバー!$C$25)),"#,##0")&amp;"円 "&amp;IF((料金レバー!$C$8+料金レバー!$C$21*料金レバー!$C$25)&gt;(料金レバー!$C$29+料金レバー!$C$27*料金レバー!$C$25),"高い","安い")</f>
        <v>13,000円 高い</v>
      </c>
    </row>
    <row r="8" customFormat="false" ht="43.5" hidden="false" customHeight="true" outlineLevel="0" collapsed="false">
      <c r="A8" s="81" t="s">
        <v>557</v>
      </c>
      <c r="B8" s="31" t="n">
        <v>12</v>
      </c>
      <c r="C8" s="19" t="str">
        <f aca="false">_xlfn.CONCAT("月",TEXT(料金レバー!$C$28,"#,##0"),"円 × ",料金レバー!$C$25,"か月",CHAR(10),"＝ ",TEXT((料金レバー!$C$29+料金レバー!$C$28*料金レバー!$C$25),"#,##0"),"円")</f>
        <v>月19,800円 × 36か月
＝ 717,800円</v>
      </c>
      <c r="D8" s="19" t="str">
        <f aca="false">_xlfn.CONCAT("買い切り",TEXT(料金レバー!$C$9,"#,##0"),"円 ＋ 運用 月",TEXT(料金レバー!$C$22,"#,##0"),"円",CHAR(10),"＝ ",TEXT((料金レバー!$C$9+料金レバー!$C$22*料金レバー!$C$25),"#,##0"),"円")</f>
        <v>買い切り398,000円 ＋ 運用 月16,000円
＝ 974,000円</v>
      </c>
      <c r="E8" s="82" t="str">
        <f aca="false">TEXT(ABS((料金レバー!$C$9+料金レバー!$C$22*料金レバー!$C$25)-(料金レバー!$C$29+料金レバー!$C$28*料金レバー!$C$25)),"#,##0")&amp;"円 "&amp;IF((料金レバー!$C$9+料金レバー!$C$22*料金レバー!$C$25)&gt;(料金レバー!$C$29+料金レバー!$C$28*料金レバー!$C$25),"高い","安い")</f>
        <v>256,200円 高い</v>
      </c>
    </row>
    <row r="10" customFormat="false" ht="27.75" hidden="false" customHeight="true" outlineLevel="0" collapsed="false">
      <c r="A10" s="23" t="s">
        <v>558</v>
      </c>
    </row>
    <row r="12" customFormat="false" ht="27.75" hidden="false" customHeight="true" outlineLevel="0" collapsed="false">
      <c r="A12" s="83" t="s">
        <v>559</v>
      </c>
    </row>
    <row r="15" customFormat="false" ht="24" hidden="false" customHeight="true" outlineLevel="0" collapsed="false">
      <c r="A15" s="1" t="s">
        <v>560</v>
      </c>
    </row>
    <row r="17" customFormat="false" ht="30" hidden="false" customHeight="true" outlineLevel="0" collapsed="false">
      <c r="A17" s="3"/>
      <c r="B17" s="4" t="s">
        <v>561</v>
      </c>
      <c r="C17" s="4" t="s">
        <v>553</v>
      </c>
      <c r="D17" s="3"/>
      <c r="E17" s="3"/>
    </row>
    <row r="18" customFormat="false" ht="31.5" hidden="false" customHeight="true" outlineLevel="0" collapsed="false">
      <c r="A18" s="18" t="s">
        <v>562</v>
      </c>
      <c r="B18" s="84" t="s">
        <v>563</v>
      </c>
      <c r="C18" s="84"/>
      <c r="D18" s="85" t="s">
        <v>564</v>
      </c>
      <c r="E18" s="85"/>
    </row>
    <row r="19" customFormat="false" ht="31.5" hidden="false" customHeight="true" outlineLevel="0" collapsed="false">
      <c r="A19" s="18" t="s">
        <v>565</v>
      </c>
      <c r="B19" s="84" t="s">
        <v>566</v>
      </c>
      <c r="C19" s="84"/>
      <c r="D19" s="85" t="s">
        <v>567</v>
      </c>
      <c r="E19" s="85"/>
    </row>
    <row r="20" customFormat="false" ht="31.5" hidden="false" customHeight="true" outlineLevel="0" collapsed="false">
      <c r="A20" s="18" t="s">
        <v>568</v>
      </c>
      <c r="B20" s="84" t="s">
        <v>569</v>
      </c>
      <c r="C20" s="84"/>
      <c r="D20" s="85" t="s">
        <v>570</v>
      </c>
      <c r="E20" s="85"/>
    </row>
    <row r="21" customFormat="false" ht="31.5" hidden="false" customHeight="true" outlineLevel="0" collapsed="false">
      <c r="A21" s="18" t="s">
        <v>571</v>
      </c>
      <c r="B21" s="84" t="s">
        <v>572</v>
      </c>
      <c r="C21" s="84"/>
      <c r="D21" s="85" t="s">
        <v>573</v>
      </c>
      <c r="E21" s="85"/>
    </row>
    <row r="22" customFormat="false" ht="31.5" hidden="false" customHeight="true" outlineLevel="0" collapsed="false">
      <c r="A22" s="18" t="s">
        <v>574</v>
      </c>
      <c r="B22" s="84" t="s">
        <v>575</v>
      </c>
      <c r="C22" s="84"/>
      <c r="D22" s="85" t="s">
        <v>576</v>
      </c>
      <c r="E22" s="85"/>
    </row>
  </sheetData>
  <mergeCells count="10">
    <mergeCell ref="B18:C18"/>
    <mergeCell ref="D18:E18"/>
    <mergeCell ref="B19:C19"/>
    <mergeCell ref="D19:E19"/>
    <mergeCell ref="B20:C20"/>
    <mergeCell ref="D20:E20"/>
    <mergeCell ref="B21:C21"/>
    <mergeCell ref="D21:E21"/>
    <mergeCell ref="B22:C22"/>
    <mergeCell ref="D22:E2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2026-09-13T22:41:09Z</dcterms:created>
  <dc:creator>openpyxl</dc:creator>
  <dc:description/>
  <dc:language>en-US</dc:language>
  <cp:lastModifiedBy/>
  <dcterms:modified xsi:type="dcterms:W3CDTF">2026-09-13T22:41:09Z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