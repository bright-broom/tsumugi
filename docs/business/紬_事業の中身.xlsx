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2.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comment3.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comments/comment4.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はじめに" sheetId="1" state="visible" r:id="rId1"/>
    <sheet xmlns:r="http://schemas.openxmlformats.org/officeDocument/2006/relationships" name="事業の基本" sheetId="2" state="visible" r:id="rId2"/>
    <sheet xmlns:r="http://schemas.openxmlformats.org/officeDocument/2006/relationships" name="料金レバー" sheetId="3" state="visible" r:id="rId3"/>
    <sheet xmlns:r="http://schemas.openxmlformats.org/officeDocument/2006/relationships" name="制作プラン" sheetId="4" state="visible" r:id="rId4"/>
    <sheet xmlns:r="http://schemas.openxmlformats.org/officeDocument/2006/relationships" name="運用プラン" sheetId="5" state="visible" r:id="rId5"/>
    <sheet xmlns:r="http://schemas.openxmlformats.org/officeDocument/2006/relationships" name="オプション・標準装備" sheetId="6" state="visible" r:id="rId6"/>
    <sheet xmlns:r="http://schemas.openxmlformats.org/officeDocument/2006/relationships" name="変更と継続支援" sheetId="7" state="visible" r:id="rId7"/>
    <sheet xmlns:r="http://schemas.openxmlformats.org/officeDocument/2006/relationships" name="月額制との比較" sheetId="8" state="visible" r:id="rId8"/>
    <sheet xmlns:r="http://schemas.openxmlformats.org/officeDocument/2006/relationships" name="補助金" sheetId="9" state="visible" r:id="rId9"/>
    <sheet xmlns:r="http://schemas.openxmlformats.org/officeDocument/2006/relationships" name="ポータル掲載費" sheetId="10" state="visible" r:id="rId10"/>
    <sheet xmlns:r="http://schemas.openxmlformats.org/officeDocument/2006/relationships" name="納品する仕様20" sheetId="11" state="visible" r:id="rId11"/>
    <sheet xmlns:r="http://schemas.openxmlformats.org/officeDocument/2006/relationships" name="売らないもの" sheetId="12" state="visible" r:id="rId12"/>
    <sheet xmlns:r="http://schemas.openxmlformats.org/officeDocument/2006/relationships" name="業種別" sheetId="13" state="visible" r:id="rId13"/>
    <sheet xmlns:r="http://schemas.openxmlformats.org/officeDocument/2006/relationships" name="ページ一覧" sheetId="14" state="visible" r:id="rId14"/>
    <sheet xmlns:r="http://schemas.openxmlformats.org/officeDocument/2006/relationships" name="配布用_料金表" sheetId="15" state="visible" r:id="rId15"/>
    <sheet xmlns:r="http://schemas.openxmlformats.org/officeDocument/2006/relationships" name="配布用_36か月の総額" sheetId="16" state="visible" r:id="rId16"/>
    <sheet xmlns:r="http://schemas.openxmlformats.org/officeDocument/2006/relationships" name="月140時間の計画" sheetId="17" state="visible" r:id="rId17"/>
  </sheets>
  <definedNames>
    <definedName name="_xlnm.Print_Titles" localSheetId="3">'制作プラン'!$1:$5</definedName>
    <definedName name="_xlnm.Print_Titles" localSheetId="4">'運用プラン'!$1:$5</definedName>
    <definedName name="_xlnm.Print_Titles" localSheetId="5">'オプション・標準装備'!$1:$5</definedName>
    <definedName name="_xlnm.Print_Titles" localSheetId="6">'変更と継続支援'!$1:$5</definedName>
    <definedName name="_xlnm.Print_Titles" localSheetId="7">'月額制との比較'!$1:$5</definedName>
    <definedName name="_xlnm.Print_Titles" localSheetId="9">'ポータル掲載費'!$1:$5</definedName>
    <definedName name="_xlnm.Print_Titles" localSheetId="14">'配布用_料金表'!$1:$5</definedName>
    <definedName name="_xlnm.Print_Titles" localSheetId="15">'配布用_36か月の総額'!$1:$5</definedName>
  </definedNames>
  <calcPr calcId="124519" fullCalcOnLoad="1" refMode="A1" iterate="0" iterateCount="100" iterateDelta="0.0001"/>
</workbook>
</file>

<file path=xl/styles.xml><?xml version="1.0" encoding="utf-8"?>
<styleSheet xmlns="http://schemas.openxmlformats.org/spreadsheetml/2006/main">
  <numFmts count="3">
    <numFmt numFmtId="164" formatCode="#,##0\円"/>
    <numFmt numFmtId="165" formatCode="0.0%"/>
    <numFmt numFmtId="166" formatCode="#,##0;[RED]\(#,##0\);0"/>
  </numFmts>
  <fonts count="54">
    <font>
      <name val="Linux Libertine G"/>
      <family val="2"/>
      <color theme="1"/>
      <sz val="11"/>
    </font>
    <font>
      <name val="Arial"/>
      <family val="0"/>
      <sz val="10"/>
    </font>
    <font>
      <name val="Arial"/>
      <family val="0"/>
      <sz val="10"/>
    </font>
    <font>
      <name val="Arial"/>
      <family val="0"/>
      <sz val="10"/>
    </font>
    <font>
      <name val="Linux Libertine G"/>
      <family val="2"/>
      <b val="1"/>
      <color rgb="FF1F3049"/>
      <sz val="15"/>
    </font>
    <font>
      <name val="Noto Sans CJK SC"/>
      <charset val="1"/>
      <family val="2"/>
      <color rgb="FF5A6B7B"/>
      <sz val="9.5"/>
    </font>
    <font>
      <name val="Linux Libertine G"/>
      <family val="2"/>
      <color rgb="FF5A6B7B"/>
      <sz val="9.5"/>
    </font>
    <font>
      <name val="Linux Libertine G"/>
      <family val="2"/>
      <b val="1"/>
      <color rgb="FFFFFFFF"/>
      <sz val="10"/>
    </font>
    <font>
      <name val="Linux Libertine G"/>
      <family val="2"/>
      <b val="1"/>
      <color rgb="FF5A6B7B"/>
      <sz val="9"/>
    </font>
    <font>
      <name val="Linux Libertine G"/>
      <family val="2"/>
      <b val="1"/>
      <color rgb="FF111C29"/>
      <sz val="10"/>
    </font>
    <font>
      <name val="Linux Libertine G"/>
      <family val="2"/>
      <color rgb="FF111C29"/>
      <sz val="9.5"/>
    </font>
    <font>
      <name val="Linux Libertine G"/>
      <family val="2"/>
      <color rgb="FF0000FF"/>
      <sz val="9.5"/>
    </font>
    <font>
      <name val="游ゴシック"/>
      <charset val="1"/>
      <family val="0"/>
      <color rgb="FF111C29"/>
      <sz val="9.5"/>
    </font>
    <font>
      <name val="Linux Libertine G"/>
      <charset val="1"/>
      <family val="2"/>
      <color rgb="FF111C29"/>
      <sz val="9.5"/>
    </font>
    <font>
      <name val="Linux Libertine G"/>
      <charset val="1"/>
      <family val="2"/>
      <b val="1"/>
      <color rgb="FF111C29"/>
      <sz val="10"/>
    </font>
    <font>
      <name val="Linux Libertine G"/>
      <family val="2"/>
      <color rgb="FF0E7A45"/>
      <sz val="9.5"/>
    </font>
    <font>
      <name val="Linux Libertine G"/>
      <family val="2"/>
      <color rgb="FF0000FF"/>
      <sz val="10"/>
    </font>
    <font>
      <name val="Linux Libertine G"/>
      <family val="2"/>
      <color rgb="FF111C29"/>
      <sz val="10"/>
    </font>
    <font>
      <name val="Linux Libertine G"/>
      <family val="2"/>
      <color rgb="FF5A6B7B"/>
      <sz val="10"/>
    </font>
    <font>
      <name val="Linux Libertine G"/>
      <charset val="1"/>
      <family val="2"/>
      <color rgb="FF111C29"/>
      <sz val="10"/>
    </font>
    <font>
      <name val="Linux Libertine G"/>
      <family val="2"/>
      <color rgb="FFB0342C"/>
      <sz val="10"/>
    </font>
    <font>
      <name val="游ゴシック"/>
      <charset val="1"/>
      <family val="0"/>
      <color rgb="FF111C29"/>
      <sz val="10"/>
    </font>
    <font>
      <name val="Linux Libertine G"/>
      <family val="2"/>
      <color rgb="FF5A6B7B"/>
      <sz val="9"/>
    </font>
    <font>
      <name val="Linux Libertine G"/>
      <charset val="1"/>
      <family val="2"/>
      <color rgb="FF5A6B7B"/>
      <sz val="9"/>
    </font>
    <font>
      <name val="游ゴシック"/>
      <charset val="1"/>
      <family val="0"/>
      <color rgb="FF5A6B7B"/>
      <sz val="9"/>
    </font>
    <font>
      <name val="Linux Libertine G"/>
      <family val="2"/>
      <b val="1"/>
      <color rgb="FF1F3049"/>
      <sz val="10"/>
    </font>
    <font>
      <name val="游ゴシック"/>
      <charset val="1"/>
      <family val="0"/>
      <b val="1"/>
      <color rgb="FF0000FF"/>
      <sz val="10"/>
    </font>
    <font>
      <name val="Linux Libertine G"/>
      <family val="2"/>
      <b val="1"/>
      <color rgb="FF0000FF"/>
      <sz val="10"/>
    </font>
    <font>
      <name val="Linux Libertine G"/>
      <family val="2"/>
      <sz val="10"/>
    </font>
    <font>
      <name val="Arial"/>
      <family val="2"/>
      <sz val="10"/>
    </font>
    <font>
      <name val="Linux Libertine G"/>
      <charset val="1"/>
      <family val="2"/>
      <b val="1"/>
      <color rgb="FF1F3049"/>
      <sz val="15"/>
    </font>
    <font>
      <name val="游ゴシック"/>
      <charset val="1"/>
      <family val="0"/>
      <color rgb="FF008000"/>
      <sz val="10"/>
    </font>
    <font>
      <name val="Linux Libertine G"/>
      <charset val="1"/>
      <family val="2"/>
      <b val="1"/>
      <color rgb="FFFFFFFF"/>
      <sz val="10"/>
    </font>
    <font>
      <name val="Noto Sans CJK SC"/>
      <charset val="1"/>
      <family val="2"/>
      <b val="1"/>
      <color rgb="FF1F3049"/>
      <sz val="15"/>
    </font>
    <font>
      <name val="Linux Libertine G"/>
      <charset val="1"/>
      <family val="2"/>
      <color rgb="FF5A6B7B"/>
      <sz val="9.5"/>
    </font>
    <font>
      <name val="游ゴシック"/>
      <charset val="1"/>
      <family val="0"/>
      <color rgb="FF0000FF"/>
      <sz val="10"/>
    </font>
    <font>
      <name val="Linux Libertine G"/>
      <family val="2"/>
      <color rgb="FF111C29"/>
      <sz val="9"/>
    </font>
    <font>
      <name val="游ゴシック"/>
      <charset val="1"/>
      <family val="0"/>
      <b val="1"/>
      <color rgb="FF111C29"/>
      <sz val="10"/>
    </font>
    <font>
      <name val="游ゴシック"/>
      <charset val="1"/>
      <family val="0"/>
      <b val="1"/>
      <color rgb="FF0E7A45"/>
      <sz val="10"/>
    </font>
    <font>
      <name val="游ゴシック"/>
      <charset val="1"/>
      <family val="0"/>
      <b val="1"/>
      <color rgb="FF1F3049"/>
      <sz val="10"/>
    </font>
    <font>
      <name val="游ゴシック"/>
      <charset val="1"/>
      <family val="0"/>
      <b val="1"/>
      <color rgb="FFFFFFFF"/>
      <sz val="10"/>
    </font>
    <font>
      <name val="Linux Libertine G"/>
      <family val="2"/>
      <b val="1"/>
      <color rgb="FF1F3049"/>
      <sz val="9"/>
    </font>
    <font>
      <name val="Linux Libertine G"/>
      <family val="2"/>
      <b val="1"/>
      <color rgb="FF111C29"/>
      <sz val="9.5"/>
    </font>
    <font>
      <name val="Linux Libertine G"/>
      <charset val="1"/>
      <family val="2"/>
      <color rgb="FF111C29"/>
      <sz val="9"/>
    </font>
    <font>
      <name val="Linux Libertine G"/>
      <charset val="1"/>
      <family val="2"/>
      <b val="1"/>
      <color rgb="FF111C29"/>
      <sz val="9.5"/>
    </font>
    <font>
      <name val="游ゴシック"/>
      <charset val="1"/>
      <family val="0"/>
      <color rgb="FF111C29"/>
      <sz val="9"/>
    </font>
    <font>
      <name val="游ゴシック"/>
      <charset val="1"/>
      <family val="0"/>
      <b val="1"/>
      <color rgb="FF111C29"/>
      <sz val="9.5"/>
    </font>
    <font>
      <name val="游ゴシック"/>
      <charset val="1"/>
      <family val="0"/>
      <b val="1"/>
      <color rgb="FFB0342C"/>
      <sz val="10"/>
    </font>
    <font>
      <name val="Linux Libertine G"/>
      <family val="2"/>
      <b val="1"/>
      <color rgb="FFB0342C"/>
      <sz val="10"/>
    </font>
    <font>
      <name val="Linux Libertine G"/>
      <charset val="1"/>
      <family val="2"/>
      <b val="1"/>
      <color rgb="FFB0342C"/>
      <sz val="10"/>
    </font>
    <font>
      <name val="游ゴシック"/>
      <charset val="1"/>
      <family val="0"/>
      <color rgb="FF5A6B7B"/>
      <sz val="10"/>
    </font>
    <font>
      <name val="Linux Libertine G"/>
      <family val="2"/>
      <color rgb="FFB0342C"/>
      <sz val="9"/>
    </font>
    <font>
      <name val="Linux Libertine G"/>
      <charset val="1"/>
      <family val="2"/>
      <color rgb="FFB0342C"/>
      <sz val="9"/>
    </font>
    <font>
      <name val="游ゴシック"/>
      <charset val="1"/>
      <family val="0"/>
      <color rgb="FF000000"/>
      <sz val="10"/>
    </font>
  </fonts>
  <fills count="5">
    <fill>
      <patternFill/>
    </fill>
    <fill>
      <patternFill patternType="gray125"/>
    </fill>
    <fill>
      <patternFill patternType="solid">
        <fgColor rgb="FF1F3049"/>
        <bgColor rgb="FF003366"/>
      </patternFill>
    </fill>
    <fill>
      <patternFill patternType="solid">
        <fgColor rgb="FFFFF8DC"/>
        <bgColor rgb="FFFFFFFF"/>
      </patternFill>
    </fill>
    <fill>
      <patternFill patternType="solid">
        <fgColor rgb="FFEEF3F7"/>
        <bgColor rgb="FFFFFFFF"/>
      </patternFill>
    </fill>
  </fills>
  <borders count="8">
    <border>
      <left/>
      <right/>
      <top/>
      <bottom/>
      <diagonal/>
    </border>
    <border>
      <left style="thin">
        <color rgb="FFC9D4DE"/>
      </left>
      <right style="thin">
        <color rgb="FFC9D4DE"/>
      </right>
      <top style="thin">
        <color rgb="FFC9D4DE"/>
      </top>
      <bottom style="thin">
        <color rgb="FFC9D4DE"/>
      </bottom>
      <diagonal/>
    </border>
    <border>
      <left style="thin">
        <color rgb="FFC9D4DE"/>
      </left>
      <right/>
      <top style="thin">
        <color rgb="FFC9D4DE"/>
      </top>
      <bottom style="thin">
        <color rgb="FFC9D4DE"/>
      </bottom>
      <diagonal/>
    </border>
    <border>
      <left/>
      <right/>
      <top/>
      <bottom style="hair">
        <color rgb="FFDDE3E8"/>
      </bottom>
      <diagonal/>
    </border>
    <border>
      <left/>
      <right/>
      <top style="thin">
        <color rgb="FFC9D4DE"/>
      </top>
      <bottom/>
      <diagonal/>
    </border>
    <border>
      <left/>
      <right/>
      <top style="thin">
        <color rgb="FFC9D4DE"/>
      </top>
      <bottom style="thin">
        <color rgb="FFC9D4DE"/>
      </bottom>
      <diagonal/>
    </border>
    <border>
      <left/>
      <right style="thin">
        <color rgb="FFC9D4DE"/>
      </right>
      <top style="thin">
        <color rgb="FFC9D4DE"/>
      </top>
      <bottom/>
      <diagonal/>
    </border>
    <border>
      <left/>
      <right style="thin">
        <color rgb="FFC9D4DE"/>
      </right>
      <top style="thin">
        <color rgb="FFC9D4DE"/>
      </top>
      <bottom style="thin">
        <color rgb="FFC9D4DE"/>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28">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7" fillId="2" borderId="1" applyAlignment="1" pivotButton="0" quotePrefix="0" xfId="0">
      <alignment horizontal="general" vertical="center" wrapText="1"/>
    </xf>
    <xf numFmtId="0" fontId="8" fillId="0" borderId="1" applyAlignment="1" pivotButton="0" quotePrefix="0" xfId="0">
      <alignment horizontal="center" vertical="center"/>
    </xf>
    <xf numFmtId="0" fontId="9" fillId="0" borderId="1" applyAlignment="1" pivotButton="0" quotePrefix="0" xfId="0">
      <alignment horizontal="left" vertical="center"/>
    </xf>
    <xf numFmtId="0" fontId="10" fillId="0" borderId="1" applyAlignment="1" pivotButton="0" quotePrefix="0" xfId="0">
      <alignment horizontal="left" vertical="center" wrapText="1"/>
    </xf>
    <xf numFmtId="0" fontId="11" fillId="3" borderId="1" applyAlignment="1" pivotButton="0" quotePrefix="0" xfId="0">
      <alignment horizontal="center" vertical="center"/>
    </xf>
    <xf numFmtId="0" fontId="12" fillId="0" borderId="1" applyAlignment="1" pivotButton="0" quotePrefix="0" xfId="0">
      <alignment horizontal="left" vertical="center" wrapText="1"/>
    </xf>
    <xf numFmtId="0" fontId="10" fillId="0" borderId="1" applyAlignment="1" pivotButton="0" quotePrefix="0" xfId="0">
      <alignment horizontal="center" vertical="center"/>
    </xf>
    <xf numFmtId="0" fontId="6" fillId="0" borderId="1" applyAlignment="1" pivotButton="0" quotePrefix="0" xfId="0">
      <alignment horizontal="center" vertical="center"/>
    </xf>
    <xf numFmtId="0" fontId="15" fillId="0" borderId="1" applyAlignment="1" pivotButton="0" quotePrefix="0" xfId="0">
      <alignment horizontal="center" vertical="center"/>
    </xf>
    <xf numFmtId="0" fontId="16" fillId="3" borderId="0" applyAlignment="1" pivotButton="0" quotePrefix="0" xfId="0">
      <alignment horizontal="general" vertical="bottom"/>
    </xf>
    <xf numFmtId="0" fontId="17" fillId="0" borderId="0" applyAlignment="1" pivotButton="0" quotePrefix="0" xfId="0">
      <alignment horizontal="general" vertical="bottom"/>
    </xf>
    <xf numFmtId="0" fontId="18" fillId="0" borderId="0" applyAlignment="1" pivotButton="0" quotePrefix="0" xfId="0">
      <alignment horizontal="general" vertical="bottom"/>
    </xf>
    <xf numFmtId="0" fontId="20" fillId="0" borderId="0" applyAlignment="1" pivotButton="0" quotePrefix="0" xfId="0">
      <alignment horizontal="general" vertical="bottom"/>
    </xf>
    <xf numFmtId="0" fontId="21" fillId="0" borderId="0" applyAlignment="1" pivotButton="0" quotePrefix="0" xfId="0">
      <alignment horizontal="general" vertical="bottom"/>
    </xf>
    <xf numFmtId="0" fontId="6" fillId="0" borderId="0" applyAlignment="1" pivotButton="0" quotePrefix="0" xfId="0">
      <alignment horizontal="general" vertical="bottom"/>
    </xf>
    <xf numFmtId="0" fontId="9" fillId="4" borderId="1" applyAlignment="1" pivotButton="0" quotePrefix="0" xfId="0">
      <alignment horizontal="left" vertical="center"/>
    </xf>
    <xf numFmtId="0" fontId="17" fillId="0" borderId="1" applyAlignment="1" pivotButton="0" quotePrefix="0" xfId="0">
      <alignment horizontal="left" vertical="center" wrapText="1"/>
    </xf>
    <xf numFmtId="0" fontId="22" fillId="0" borderId="1" applyAlignment="1" pivotButton="0" quotePrefix="0" xfId="0">
      <alignment horizontal="left" vertical="center" wrapText="1"/>
    </xf>
    <xf numFmtId="0" fontId="21" fillId="0" borderId="1" applyAlignment="1" pivotButton="0" quotePrefix="0" xfId="0">
      <alignment horizontal="left" vertical="center" wrapText="1"/>
    </xf>
    <xf numFmtId="0" fontId="24" fillId="0" borderId="1" applyAlignment="1" pivotButton="0" quotePrefix="0" xfId="0">
      <alignment horizontal="left" vertical="center" wrapText="1"/>
    </xf>
    <xf numFmtId="0" fontId="22" fillId="0" borderId="0" applyAlignment="1" pivotButton="0" quotePrefix="0" xfId="0">
      <alignment horizontal="general" vertical="top" wrapText="1"/>
    </xf>
    <xf numFmtId="0" fontId="25" fillId="4" borderId="1" applyAlignment="1" pivotButton="0" quotePrefix="0" xfId="0">
      <alignment horizontal="left" vertical="center"/>
    </xf>
    <xf numFmtId="0" fontId="17" fillId="4" borderId="1" applyAlignment="1" pivotButton="0" quotePrefix="0" xfId="0">
      <alignment horizontal="left" vertical="center"/>
    </xf>
    <xf numFmtId="3" fontId="26" fillId="3" borderId="1" applyAlignment="1" pivotButton="0" quotePrefix="0" xfId="0">
      <alignment horizontal="right" vertical="center"/>
    </xf>
    <xf numFmtId="0" fontId="22" fillId="0" borderId="1" applyAlignment="1" pivotButton="0" quotePrefix="0" xfId="0">
      <alignment horizontal="center" vertical="center"/>
    </xf>
    <xf numFmtId="164" fontId="27" fillId="3" borderId="1" applyAlignment="1" pivotButton="0" quotePrefix="0" xfId="0">
      <alignment horizontal="right" vertical="center"/>
    </xf>
    <xf numFmtId="9" fontId="26" fillId="3" borderId="1" applyAlignment="1" pivotButton="0" quotePrefix="0" xfId="0">
      <alignment horizontal="right" vertical="center"/>
    </xf>
    <xf numFmtId="165" fontId="26" fillId="3" borderId="1" applyAlignment="1" pivotButton="0" quotePrefix="0" xfId="0">
      <alignment horizontal="right" vertical="center"/>
    </xf>
    <xf numFmtId="2" fontId="26" fillId="3" borderId="1" applyAlignment="1" pivotButton="0" quotePrefix="0" xfId="0">
      <alignment horizontal="right" vertical="center"/>
    </xf>
    <xf numFmtId="0" fontId="4" fillId="0" borderId="0" applyAlignment="1" pivotButton="0" quotePrefix="0" xfId="0">
      <alignment horizontal="general" vertical="center" wrapText="1"/>
    </xf>
    <xf numFmtId="0" fontId="9" fillId="0" borderId="2" applyAlignment="1" pivotButton="0" quotePrefix="0" xfId="0">
      <alignment horizontal="general" vertical="center" wrapText="1"/>
    </xf>
    <xf numFmtId="0" fontId="17" fillId="0" borderId="3" applyAlignment="1" pivotButton="0" quotePrefix="0" xfId="0">
      <alignment horizontal="general" vertical="center" wrapText="1"/>
    </xf>
    <xf numFmtId="166" fontId="21" fillId="0" borderId="3" applyAlignment="1" pivotButton="0" quotePrefix="0" xfId="0">
      <alignment horizontal="general" vertical="center" wrapText="1"/>
    </xf>
    <xf numFmtId="166" fontId="31" fillId="0" borderId="3" applyAlignment="1" pivotButton="0" quotePrefix="0" xfId="0">
      <alignment horizontal="general" vertical="center" wrapText="1"/>
    </xf>
    <xf numFmtId="0" fontId="21" fillId="0" borderId="3" applyAlignment="1" pivotButton="0" quotePrefix="0" xfId="0">
      <alignment horizontal="general" vertical="center" wrapText="1"/>
    </xf>
    <xf numFmtId="0" fontId="33" fillId="0" borderId="0" applyAlignment="1" pivotButton="0" quotePrefix="0" xfId="0">
      <alignment horizontal="general" vertical="center" wrapText="1"/>
    </xf>
    <xf numFmtId="164" fontId="35" fillId="3" borderId="1" applyAlignment="1" pivotButton="0" quotePrefix="0" xfId="0">
      <alignment horizontal="right" vertical="center"/>
    </xf>
    <xf numFmtId="0" fontId="17" fillId="0" borderId="1" applyAlignment="1" pivotButton="0" quotePrefix="0" xfId="0">
      <alignment horizontal="left" vertical="center"/>
    </xf>
    <xf numFmtId="0" fontId="36" fillId="0" borderId="1" applyAlignment="1" pivotButton="0" quotePrefix="0" xfId="0">
      <alignment horizontal="left" vertical="center"/>
    </xf>
    <xf numFmtId="164" fontId="37" fillId="4" borderId="1" applyAlignment="1" pivotButton="0" quotePrefix="0" xfId="0">
      <alignment horizontal="right" vertical="center"/>
    </xf>
    <xf numFmtId="164" fontId="21" fillId="0" borderId="1" applyAlignment="1" pivotButton="0" quotePrefix="0" xfId="0">
      <alignment horizontal="right" vertical="center"/>
    </xf>
    <xf numFmtId="164" fontId="38" fillId="4" borderId="1" applyAlignment="1" pivotButton="0" quotePrefix="0" xfId="0">
      <alignment horizontal="right" vertical="center"/>
    </xf>
    <xf numFmtId="0" fontId="22" fillId="4" borderId="1" applyAlignment="1" pivotButton="0" quotePrefix="0" xfId="0">
      <alignment horizontal="left" vertical="center" wrapText="1"/>
    </xf>
    <xf numFmtId="164" fontId="39" fillId="4" borderId="1" applyAlignment="1" pivotButton="0" quotePrefix="0" xfId="0">
      <alignment horizontal="right" vertical="center"/>
    </xf>
    <xf numFmtId="0" fontId="40" fillId="2" borderId="1" applyAlignment="1" pivotButton="0" quotePrefix="0" xfId="0">
      <alignment horizontal="general" vertical="center" wrapText="1"/>
    </xf>
    <xf numFmtId="0" fontId="41" fillId="4" borderId="1" applyAlignment="1" pivotButton="0" quotePrefix="0" xfId="0">
      <alignment horizontal="center" vertical="center"/>
    </xf>
    <xf numFmtId="0" fontId="42" fillId="0" borderId="1" applyAlignment="1" pivotButton="0" quotePrefix="0" xfId="0">
      <alignment horizontal="left" vertical="center" wrapText="1"/>
    </xf>
    <xf numFmtId="0" fontId="36" fillId="0" borderId="1" applyAlignment="1" pivotButton="0" quotePrefix="0" xfId="0">
      <alignment horizontal="left" vertical="center" wrapText="1"/>
    </xf>
    <xf numFmtId="0" fontId="45" fillId="0" borderId="1" applyAlignment="1" pivotButton="0" quotePrefix="0" xfId="0">
      <alignment horizontal="left" vertical="center" wrapText="1"/>
    </xf>
    <xf numFmtId="0" fontId="46" fillId="0" borderId="1" applyAlignment="1" pivotButton="0" quotePrefix="0" xfId="0">
      <alignment horizontal="left" vertical="center" wrapText="1"/>
    </xf>
    <xf numFmtId="0" fontId="25" fillId="4" borderId="1" applyAlignment="1" pivotButton="0" quotePrefix="0" xfId="0">
      <alignment horizontal="center" vertical="center"/>
    </xf>
    <xf numFmtId="0" fontId="47" fillId="0" borderId="1" applyAlignment="1" pivotButton="0" quotePrefix="0" xfId="0">
      <alignment horizontal="left" vertical="center" wrapText="1"/>
    </xf>
    <xf numFmtId="0" fontId="48" fillId="0" borderId="1" applyAlignment="1" pivotButton="0" quotePrefix="0" xfId="0">
      <alignment horizontal="left" vertical="center" wrapText="1"/>
    </xf>
    <xf numFmtId="0" fontId="10" fillId="0" borderId="1" applyAlignment="1" pivotButton="0" quotePrefix="0" xfId="0">
      <alignment horizontal="center" vertical="center" wrapText="1"/>
    </xf>
    <xf numFmtId="0" fontId="50" fillId="0" borderId="1" applyAlignment="1" pivotButton="0" quotePrefix="0" xfId="0">
      <alignment horizontal="center" vertical="center"/>
    </xf>
    <xf numFmtId="0" fontId="51" fillId="0" borderId="1" applyAlignment="1" pivotButton="0" quotePrefix="0" xfId="0">
      <alignment horizontal="left" vertical="center" wrapText="1"/>
    </xf>
    <xf numFmtId="0" fontId="12" fillId="0" borderId="1" applyAlignment="1" pivotButton="0" quotePrefix="0" xfId="0">
      <alignment horizontal="left" vertical="center"/>
    </xf>
    <xf numFmtId="4" fontId="35" fillId="0" borderId="3" applyAlignment="1" pivotButton="0" quotePrefix="0" xfId="0">
      <alignment horizontal="general" vertical="center" wrapText="1"/>
    </xf>
    <xf numFmtId="4" fontId="53" fillId="0" borderId="3" applyAlignment="1" pivotButton="0" quotePrefix="0" xfId="0">
      <alignment horizontal="general" vertical="center"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7" fillId="2" borderId="1" applyAlignment="1" pivotButton="0" quotePrefix="0" xfId="0">
      <alignment horizontal="general" vertical="center" wrapText="1"/>
    </xf>
    <xf numFmtId="0" fontId="8" fillId="0" borderId="1" applyAlignment="1" pivotButton="0" quotePrefix="0" xfId="0">
      <alignment horizontal="center" vertical="center"/>
    </xf>
    <xf numFmtId="0" fontId="9" fillId="0" borderId="1" applyAlignment="1" pivotButton="0" quotePrefix="0" xfId="0">
      <alignment horizontal="left" vertical="center"/>
    </xf>
    <xf numFmtId="0" fontId="10" fillId="0" borderId="1" applyAlignment="1" pivotButton="0" quotePrefix="0" xfId="0">
      <alignment horizontal="left" vertical="center" wrapText="1"/>
    </xf>
    <xf numFmtId="0" fontId="11" fillId="3" borderId="1" applyAlignment="1" pivotButton="0" quotePrefix="0" xfId="0">
      <alignment horizontal="center" vertical="center"/>
    </xf>
    <xf numFmtId="0" fontId="12" fillId="0" borderId="1" applyAlignment="1" pivotButton="0" quotePrefix="0" xfId="0">
      <alignment horizontal="left" vertical="center" wrapText="1"/>
    </xf>
    <xf numFmtId="0" fontId="10" fillId="0" borderId="1" applyAlignment="1" pivotButton="0" quotePrefix="0" xfId="0">
      <alignment horizontal="center" vertical="center"/>
    </xf>
    <xf numFmtId="0" fontId="6" fillId="0" borderId="1" applyAlignment="1" pivotButton="0" quotePrefix="0" xfId="0">
      <alignment horizontal="center" vertical="center"/>
    </xf>
    <xf numFmtId="0" fontId="15" fillId="0" borderId="1" applyAlignment="1" pivotButton="0" quotePrefix="0" xfId="0">
      <alignment horizontal="center" vertical="center"/>
    </xf>
    <xf numFmtId="0" fontId="16" fillId="3" borderId="0" applyAlignment="1" pivotButton="0" quotePrefix="0" xfId="0">
      <alignment horizontal="general" vertical="bottom"/>
    </xf>
    <xf numFmtId="0" fontId="17" fillId="0" borderId="0" applyAlignment="1" pivotButton="0" quotePrefix="0" xfId="0">
      <alignment horizontal="general" vertical="bottom"/>
    </xf>
    <xf numFmtId="0" fontId="18" fillId="0" borderId="0" applyAlignment="1" pivotButton="0" quotePrefix="0" xfId="0">
      <alignment horizontal="general" vertical="bottom"/>
    </xf>
    <xf numFmtId="0" fontId="20" fillId="0" borderId="0" applyAlignment="1" pivotButton="0" quotePrefix="0" xfId="0">
      <alignment horizontal="general" vertical="bottom"/>
    </xf>
    <xf numFmtId="0" fontId="21" fillId="0" borderId="0" applyAlignment="1" pivotButton="0" quotePrefix="0" xfId="0">
      <alignment horizontal="general" vertical="bottom"/>
    </xf>
    <xf numFmtId="0" fontId="6" fillId="0" borderId="0" applyAlignment="1" pivotButton="0" quotePrefix="0" xfId="0">
      <alignment horizontal="general" vertical="bottom"/>
    </xf>
    <xf numFmtId="0" fontId="9" fillId="4" borderId="1" applyAlignment="1" pivotButton="0" quotePrefix="0" xfId="0">
      <alignment horizontal="left" vertical="center"/>
    </xf>
    <xf numFmtId="0" fontId="17" fillId="0" borderId="1" applyAlignment="1" pivotButton="0" quotePrefix="0" xfId="0">
      <alignment horizontal="left" vertical="center" wrapText="1"/>
    </xf>
    <xf numFmtId="0" fontId="22" fillId="0" borderId="1" applyAlignment="1" pivotButton="0" quotePrefix="0" xfId="0">
      <alignment horizontal="left" vertical="center" wrapText="1"/>
    </xf>
    <xf numFmtId="0" fontId="21" fillId="0" borderId="1" applyAlignment="1" pivotButton="0" quotePrefix="0" xfId="0">
      <alignment horizontal="left" vertical="center" wrapText="1"/>
    </xf>
    <xf numFmtId="0" fontId="24" fillId="0" borderId="1" applyAlignment="1" pivotButton="0" quotePrefix="0" xfId="0">
      <alignment horizontal="left" vertical="center" wrapText="1"/>
    </xf>
    <xf numFmtId="0" fontId="22" fillId="0" borderId="0" applyAlignment="1" pivotButton="0" quotePrefix="0" xfId="0">
      <alignment horizontal="general" vertical="top" wrapText="1"/>
    </xf>
    <xf numFmtId="0" fontId="25" fillId="4" borderId="1" applyAlignment="1" pivotButton="0" quotePrefix="0" xfId="0">
      <alignment horizontal="left" vertical="center"/>
    </xf>
    <xf numFmtId="0" fontId="17" fillId="4" borderId="1" applyAlignment="1" pivotButton="0" quotePrefix="0" xfId="0">
      <alignment horizontal="left" vertical="center"/>
    </xf>
    <xf numFmtId="3" fontId="26" fillId="3" borderId="1" applyAlignment="1" pivotButton="0" quotePrefix="0" xfId="0">
      <alignment horizontal="right" vertical="center"/>
    </xf>
    <xf numFmtId="0" fontId="22" fillId="0" borderId="1" applyAlignment="1" pivotButton="0" quotePrefix="0" xfId="0">
      <alignment horizontal="center" vertical="center"/>
    </xf>
    <xf numFmtId="164" fontId="27" fillId="3" borderId="1" applyAlignment="1" pivotButton="0" quotePrefix="0" xfId="0">
      <alignment horizontal="right" vertical="center"/>
    </xf>
    <xf numFmtId="9" fontId="26" fillId="3" borderId="1" applyAlignment="1" pivotButton="0" quotePrefix="0" xfId="0">
      <alignment horizontal="right" vertical="center"/>
    </xf>
    <xf numFmtId="165" fontId="26" fillId="3" borderId="1" applyAlignment="1" pivotButton="0" quotePrefix="0" xfId="0">
      <alignment horizontal="right" vertical="center"/>
    </xf>
    <xf numFmtId="2" fontId="26" fillId="3" borderId="1" applyAlignment="1" pivotButton="0" quotePrefix="0" xfId="0">
      <alignment horizontal="right" vertical="center"/>
    </xf>
    <xf numFmtId="0" fontId="4" fillId="0" borderId="0" applyAlignment="1" pivotButton="0" quotePrefix="0" xfId="0">
      <alignment horizontal="general" vertical="center" wrapText="1"/>
    </xf>
    <xf numFmtId="0" fontId="9" fillId="0" borderId="2" applyAlignment="1" pivotButton="0" quotePrefix="0" xfId="0">
      <alignment horizontal="general" vertical="center" wrapText="1"/>
    </xf>
    <xf numFmtId="0" fontId="0" fillId="0" borderId="5" pivotButton="0" quotePrefix="0" xfId="0"/>
    <xf numFmtId="0" fontId="17" fillId="0" borderId="3" applyAlignment="1" pivotButton="0" quotePrefix="0" xfId="0">
      <alignment horizontal="general" vertical="center" wrapText="1"/>
    </xf>
    <xf numFmtId="166" fontId="21" fillId="0" borderId="3" applyAlignment="1" pivotButton="0" quotePrefix="0" xfId="0">
      <alignment horizontal="general" vertical="center" wrapText="1"/>
    </xf>
    <xf numFmtId="166" fontId="31" fillId="0" borderId="3" applyAlignment="1" pivotButton="0" quotePrefix="0" xfId="0">
      <alignment horizontal="general" vertical="center" wrapText="1"/>
    </xf>
    <xf numFmtId="0" fontId="21" fillId="0" borderId="3" applyAlignment="1" pivotButton="0" quotePrefix="0" xfId="0">
      <alignment horizontal="general" vertical="center" wrapText="1"/>
    </xf>
    <xf numFmtId="0" fontId="33" fillId="0" borderId="0" applyAlignment="1" pivotButton="0" quotePrefix="0" xfId="0">
      <alignment horizontal="general" vertical="center" wrapText="1"/>
    </xf>
    <xf numFmtId="164" fontId="35" fillId="3" borderId="1" applyAlignment="1" pivotButton="0" quotePrefix="0" xfId="0">
      <alignment horizontal="right" vertical="center"/>
    </xf>
    <xf numFmtId="0" fontId="17" fillId="0" borderId="1" applyAlignment="1" pivotButton="0" quotePrefix="0" xfId="0">
      <alignment horizontal="left" vertical="center"/>
    </xf>
    <xf numFmtId="0" fontId="36" fillId="0" borderId="1" applyAlignment="1" pivotButton="0" quotePrefix="0" xfId="0">
      <alignment horizontal="left" vertical="center"/>
    </xf>
    <xf numFmtId="164" fontId="37" fillId="4" borderId="1" applyAlignment="1" pivotButton="0" quotePrefix="0" xfId="0">
      <alignment horizontal="right" vertical="center"/>
    </xf>
    <xf numFmtId="164" fontId="21" fillId="0" borderId="1" applyAlignment="1" pivotButton="0" quotePrefix="0" xfId="0">
      <alignment horizontal="right" vertical="center"/>
    </xf>
    <xf numFmtId="164" fontId="38" fillId="4" borderId="1" applyAlignment="1" pivotButton="0" quotePrefix="0" xfId="0">
      <alignment horizontal="right" vertical="center"/>
    </xf>
    <xf numFmtId="0" fontId="22" fillId="4" borderId="1" applyAlignment="1" pivotButton="0" quotePrefix="0" xfId="0">
      <alignment horizontal="left" vertical="center" wrapText="1"/>
    </xf>
    <xf numFmtId="164" fontId="39" fillId="4" borderId="1" applyAlignment="1" pivotButton="0" quotePrefix="0" xfId="0">
      <alignment horizontal="right" vertical="center"/>
    </xf>
    <xf numFmtId="0" fontId="0" fillId="0" borderId="7" pivotButton="0" quotePrefix="0" xfId="0"/>
    <xf numFmtId="0" fontId="40" fillId="2" borderId="1" applyAlignment="1" pivotButton="0" quotePrefix="0" xfId="0">
      <alignment horizontal="general" vertical="center" wrapText="1"/>
    </xf>
    <xf numFmtId="0" fontId="41" fillId="4" borderId="1" applyAlignment="1" pivotButton="0" quotePrefix="0" xfId="0">
      <alignment horizontal="center" vertical="center"/>
    </xf>
    <xf numFmtId="0" fontId="42" fillId="0" borderId="1" applyAlignment="1" pivotButton="0" quotePrefix="0" xfId="0">
      <alignment horizontal="left" vertical="center" wrapText="1"/>
    </xf>
    <xf numFmtId="0" fontId="36" fillId="0" borderId="1" applyAlignment="1" pivotButton="0" quotePrefix="0" xfId="0">
      <alignment horizontal="left" vertical="center" wrapText="1"/>
    </xf>
    <xf numFmtId="0" fontId="45" fillId="0" borderId="1" applyAlignment="1" pivotButton="0" quotePrefix="0" xfId="0">
      <alignment horizontal="left" vertical="center" wrapText="1"/>
    </xf>
    <xf numFmtId="0" fontId="46" fillId="0" borderId="1" applyAlignment="1" pivotButton="0" quotePrefix="0" xfId="0">
      <alignment horizontal="left" vertical="center" wrapText="1"/>
    </xf>
    <xf numFmtId="0" fontId="25" fillId="4" borderId="1" applyAlignment="1" pivotButton="0" quotePrefix="0" xfId="0">
      <alignment horizontal="center" vertical="center"/>
    </xf>
    <xf numFmtId="0" fontId="47" fillId="0" borderId="1" applyAlignment="1" pivotButton="0" quotePrefix="0" xfId="0">
      <alignment horizontal="left" vertical="center" wrapText="1"/>
    </xf>
    <xf numFmtId="0" fontId="48" fillId="0" borderId="1" applyAlignment="1" pivotButton="0" quotePrefix="0" xfId="0">
      <alignment horizontal="left" vertical="center" wrapText="1"/>
    </xf>
    <xf numFmtId="0" fontId="10" fillId="0" borderId="1" applyAlignment="1" pivotButton="0" quotePrefix="0" xfId="0">
      <alignment horizontal="center" vertical="center" wrapText="1"/>
    </xf>
    <xf numFmtId="0" fontId="50" fillId="0" borderId="1" applyAlignment="1" pivotButton="0" quotePrefix="0" xfId="0">
      <alignment horizontal="center" vertical="center"/>
    </xf>
    <xf numFmtId="0" fontId="51" fillId="0" borderId="1" applyAlignment="1" pivotButton="0" quotePrefix="0" xfId="0">
      <alignment horizontal="left" vertical="center" wrapText="1"/>
    </xf>
    <xf numFmtId="0" fontId="12" fillId="0" borderId="1" applyAlignment="1" pivotButton="0" quotePrefix="0" xfId="0">
      <alignment horizontal="left" vertical="center"/>
    </xf>
    <xf numFmtId="4" fontId="35" fillId="0" borderId="3" applyAlignment="1" pivotButton="0" quotePrefix="0" xfId="0">
      <alignment horizontal="general" vertical="center" wrapText="1"/>
    </xf>
    <xf numFmtId="4" fontId="53" fillId="0" borderId="3" applyAlignment="1" pivotButton="0" quotePrefix="0" xfId="0">
      <alignment horizontal="general"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B8860B"/>
      <rgbColor rgb="FF800080"/>
      <rgbColor rgb="FF0E7A45"/>
      <rgbColor rgb="FFC0C0C0"/>
      <rgbColor rgb="FF808080"/>
      <rgbColor rgb="FF9999FF"/>
      <rgbColor rgb="FF993366"/>
      <rgbColor rgb="FFFFF8DC"/>
      <rgbColor rgb="FFEEF3F7"/>
      <rgbColor rgb="FF660066"/>
      <rgbColor rgb="FFFF8080"/>
      <rgbColor rgb="FF0066CC"/>
      <rgbColor rgb="FFC9D4DE"/>
      <rgbColor rgb="FF000080"/>
      <rgbColor rgb="FFFF00FF"/>
      <rgbColor rgb="FFFFFF00"/>
      <rgbColor rgb="FF00FFFF"/>
      <rgbColor rgb="FF800080"/>
      <rgbColor rgb="FF800000"/>
      <rgbColor rgb="FF008080"/>
      <rgbColor rgb="FF0000FF"/>
      <rgbColor rgb="FF00CCFF"/>
      <rgbColor rgb="FFDDE3E8"/>
      <rgbColor rgb="FFCCFFCC"/>
      <rgbColor rgb="FFFFFF99"/>
      <rgbColor rgb="FF99CCFF"/>
      <rgbColor rgb="FFFF99CC"/>
      <rgbColor rgb="FFCC99FF"/>
      <rgbColor rgb="FFFFCC99"/>
      <rgbColor rgb="FF3366FF"/>
      <rgbColor rgb="FF33CCCC"/>
      <rgbColor rgb="FF99CC00"/>
      <rgbColor rgb="FFFFCC00"/>
      <rgbColor rgb="FFFF9900"/>
      <rgbColor rgb="FFFF6600"/>
      <rgbColor rgb="FF5A6B7B"/>
      <rgbColor rgb="FF969696"/>
      <rgbColor rgb="FF003366"/>
      <rgbColor rgb="FF339966"/>
      <rgbColor rgb="FF111C29"/>
      <rgbColor rgb="FF333300"/>
      <rgbColor rgb="FFB0342C"/>
      <rgbColor rgb="FF993366"/>
      <rgbColor rgb="FF333399"/>
      <rgbColor rgb="FF1F3049"/>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comments/comment1.xml><?xml version="1.0" encoding="utf-8"?>
<comments xmlns="http://schemas.openxmlformats.org/spreadsheetml/2006/main">
  <authors>
    <author>紬</author>
  </authors>
  <commentList>
    <comment ref="C7" authorId="0" shapeId="0">
      <text>
        <t>正本: src/content/prices.ts / 2026-09-14。Excelは写しで、変更してもサイトに反映されません。 1ページ・確認1回</t>
      </text>
    </comment>
    <comment ref="C8" authorId="0" shapeId="0">
      <text>
        <t>正本: src/content/prices.ts / 2026-09-14。Excelは写しで、変更してもサイトに反映されません。 最大6ページ・確認2回</t>
      </text>
    </comment>
    <comment ref="C9" authorId="0" shapeId="0">
      <text>
        <t>正本: src/content/prices.ts / 2026-09-14。Excelは写しで、変更してもサイトに反映されません。 最大9ページ・受付準備中</t>
      </text>
    </comment>
    <comment ref="C12" authorId="0" shapeId="0">
      <text>
        <t>正本: src/content/prices.ts / 2026-09-14。Excelは写しで、変更してもサイトに反映されません。 検収時に残額。自社24回分割の新規受付なし</t>
      </text>
    </comment>
    <comment ref="C13" authorId="0" shapeId="0">
      <text>
        <t>正本: src/content/prices.ts / 2026-09-14。Excelは写しで、変更してもサイトに反映されません。 月合算を5分単位で切上げ。依頼ごとの切上げなし</t>
      </text>
    </comment>
    <comment ref="C14" authorId="0" shapeId="0">
      <text>
        <t>正本: src/content/prices.ts / 2026-09-14。Excelは写しで、変更してもサイトに反映されません。 通常変更と改善の合計。繰越なし</t>
      </text>
    </comment>
    <comment ref="C15" authorId="0" shapeId="0">
      <text>
        <t>正本: src/content/prices.ts / 2026-09-14。Excelは写しで、変更してもサイトに反映されません。 作業枠とは別</t>
      </text>
    </comment>
    <comment ref="C16" authorId="0" shapeId="0">
      <text>
        <t>正本: src/content/prices.ts / 2026-09-14。Excelは写しで、変更してもサイトに反映されません。 見積時に契約先・為替・利用量で更新。上限保証ではない</t>
      </text>
    </comment>
    <comment ref="C17" authorId="0" shapeId="0">
      <text>
        <t>正本: src/content/prices.ts / 2026-09-14。Excelは写しで、変更してもサイトに反映されません。 税込比較用</t>
      </text>
    </comment>
    <comment ref="C18" authorId="0" shapeId="0">
      <text>
        <t>正本: src/content/prices.ts / 2026-09-14。Excelは写しで、変更してもサイトに反映されません。 同一事業・再利用できる構成・1回。撮影/外部費/支援は対象外</t>
      </text>
    </comment>
    <comment ref="C20" authorId="0" shapeId="0">
      <text>
        <t>2026-09-16: Vercel を維持し保守料金を下げるユーザー方針を採用。正本: src/content/prices.ts の run_light。税別月額。</t>
      </text>
    </comment>
    <comment ref="C21" authorId="0" shapeId="0">
      <text>
        <t>正本: src/content/prices.ts / 2026-09-14。Excelは写しで、変更してもサイトに反映されません。 守る＋月30分の変更</t>
      </text>
    </comment>
    <comment ref="C22" authorId="0" shapeId="0">
      <text>
        <t>正本: src/content/prices.ts / 2026-09-14。Excelは写しで、変更してもサイトに反映されません。 守る＋月90分の作業と30分の打合せ</t>
      </text>
    </comment>
    <comment ref="C23" authorId="0" shapeId="0">
      <text>
        <t>正本: src/content/prices.ts / 2026-09-14。Excelは写しで、変更してもサイトに反映されません。 外部費は別。継続作業は含まない</t>
      </text>
    </comment>
    <comment ref="C45" authorId="0" shapeId="0">
      <text>
        <t>tools/pricing/proposal.json: ユーザー指定</t>
      </text>
    </comment>
    <comment ref="C46" authorId="0" shapeId="0">
      <text>
        <t>tools/pricing/proposal.json: 仮定</t>
      </text>
    </comment>
    <comment ref="C47" authorId="0" shapeId="0">
      <text>
        <t>tools/pricing/proposal.json: 仮定</t>
      </text>
    </comment>
    <comment ref="C48" authorId="0" shapeId="0">
      <text>
        <t>tools/pricing/proposal.json: 仮定・税引後手取りではない</t>
      </text>
    </comment>
    <comment ref="C49" authorId="0" shapeId="0">
      <text>
        <t>tools/pricing/proposal.json: 未検証工数</t>
      </text>
    </comment>
    <comment ref="C50" authorId="0" shapeId="0">
      <text>
        <t>tools/pricing/proposal.json: 未検証工数・提供開始後</t>
      </text>
    </comment>
    <comment ref="C51" authorId="0" shapeId="0">
      <text>
        <t>tools/pricing/proposal.json: 未検証工数</t>
      </text>
    </comment>
    <comment ref="C52" authorId="0" shapeId="0">
      <text>
        <t>tools/pricing/proposal.json: 未検証工数</t>
      </text>
    </comment>
    <comment ref="C53" authorId="0" shapeId="0">
      <text>
        <t>tools/pricing/proposal.json: 未検証工数</t>
      </text>
    </comment>
    <comment ref="C54" authorId="0" shapeId="0">
      <text>
        <t>tools/pricing/proposal.json: 将来のモデル</t>
      </text>
    </comment>
    <comment ref="C55" authorId="0" shapeId="0">
      <text>
        <t>tools/pricing/proposal.json: 将来のモデル</t>
      </text>
    </comment>
    <comment ref="C56" authorId="0" shapeId="0">
      <text>
        <t>tools/pricing/proposal.json: 将来のモデル</t>
      </text>
    </comment>
    <comment ref="C57" authorId="0" shapeId="0">
      <text>
        <t>tools/pricing/proposal.json: 感度分析の仮定</t>
      </text>
    </comment>
  </commentList>
</comments>
</file>

<file path=xl/comments/comment2.xml><?xml version="1.0" encoding="utf-8"?>
<comments xmlns="http://schemas.openxmlformats.org/spreadsheetml/2006/main">
  <authors>
    <author>紬</author>
  </authors>
  <commentList>
    <comment ref="B6" authorId="0" shapeId="0">
      <text>
        <t>正本: src/content/prices.ts / 2026-09-14。Excelは写しで、変更してもサイトに反映されません。</t>
      </text>
    </comment>
    <comment ref="B7" authorId="0" shapeId="0">
      <text>
        <t>正本: src/content/prices.ts / 2026-09-14。Excelは写しで、変更してもサイトに反映されません。</t>
      </text>
    </comment>
    <comment ref="B8" authorId="0" shapeId="0">
      <text>
        <t>正本: src/content/prices.ts / 2026-09-14。Excelは写しで、変更してもサイトに反映されません。</t>
      </text>
    </comment>
    <comment ref="B9" authorId="0" shapeId="0">
      <text>
        <t>正本: src/content/prices.ts / 2026-09-14。Excelは写しで、変更してもサイトに反映されません。</t>
      </text>
    </comment>
    <comment ref="B10" authorId="0" shapeId="0">
      <text>
        <t>正本: src/content/prices.ts / 2026-09-14。Excelは写しで、変更してもサイトに反映されません。</t>
      </text>
    </comment>
    <comment ref="B11" authorId="0" shapeId="0">
      <text>
        <t>正本: src/content/prices.ts / 2026-09-14。Excelは写しで、変更してもサイトに反映されません。</t>
      </text>
    </comment>
    <comment ref="B12" authorId="0" shapeId="0">
      <text>
        <t>正本: src/content/prices.ts / 2026-09-14。Excelは写しで、変更してもサイトに反映されません。</t>
      </text>
    </comment>
    <comment ref="B13" authorId="0" shapeId="0">
      <text>
        <t>正本: src/content/prices.ts / 2026-09-14。Excelは写しで、変更してもサイトに反映されません。</t>
      </text>
    </comment>
  </commentList>
</comments>
</file>

<file path=xl/comments/comment3.xml><?xml version="1.0" encoding="utf-8"?>
<comments xmlns="http://schemas.openxmlformats.org/spreadsheetml/2006/main">
  <authors>
    <author>紬</author>
  </authors>
  <commentList>
    <comment ref="C6" authorId="0" shapeId="0">
      <text>
        <t>正本: src/content/prices.ts / 2026-09-14。Excelは写しで、変更してもサイトに反映されません。</t>
      </text>
    </comment>
  </commentList>
</comments>
</file>

<file path=xl/comments/comment4.xml><?xml version="1.0" encoding="utf-8"?>
<comments xmlns="http://schemas.openxmlformats.org/spreadsheetml/2006/main">
  <authors>
    <author>紬</author>
  </authors>
  <commentList>
    <comment ref="B2" authorId="0" shapeId="0">
      <text>
        <t>ユーザー指定</t>
      </text>
    </comment>
    <comment ref="B3" authorId="0" shapeId="0">
      <text>
        <t>仮定 / tools/pricing/proposal.json</t>
      </text>
    </comment>
    <comment ref="B4" authorId="0" shapeId="0">
      <text>
        <t>仮定 / tools/pricing/proposal.json</t>
      </text>
    </comment>
    <comment ref="B5" authorId="0" shapeId="0">
      <text>
        <t>計算結果。予備時間を売らない</t>
      </text>
    </comment>
    <comment ref="B6" authorId="0" shapeId="0">
      <text>
        <t>未検証の仮定・税引後手取りではない</t>
      </text>
    </comment>
    <comment ref="B7" authorId="0" shapeId="0">
      <text>
        <t>全140時間を一度だけ評価</t>
      </text>
    </comment>
    <comment ref="B8" authorId="0" shapeId="0">
      <text>
        <t>土台1件15h＋情報育成1件26h。CMS提供開始後の条件付き</t>
      </text>
    </comment>
    <comment ref="B9" authorId="0" shapeId="0">
      <text>
        <t>守る10社・整える16社・育てる6社。未検証工数</t>
      </text>
    </comment>
    <comment ref="B10" authorId="0" shapeId="0">
      <text>
        <t>営業・予備を別に確保したうえでの余白</t>
      </text>
    </comment>
    <comment ref="B11" authorId="0" shapeId="0">
      <text>
        <t>負なら追加受注を止める。未検証の感度ケース</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6.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9.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17.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sheet1.xml><?xml version="1.0" encoding="utf-8"?>
<worksheet xmlns="http://schemas.openxmlformats.org/spreadsheetml/2006/main">
  <sheetPr filterMode="0">
    <tabColor rgb="FF1F3049"/>
    <outlinePr summaryBelow="1" summaryRight="1"/>
    <pageSetUpPr fitToPage="0"/>
  </sheetPr>
  <dimension ref="A2:D28"/>
  <sheetViews>
    <sheetView showFormulas="0" showGridLines="0" showRowColHeaders="1" showZeros="1" rightToLeft="0" tabSelected="1"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9.4453125" defaultRowHeight="15" customHeight="0" zeroHeight="0" outlineLevelRow="0"/>
  <cols>
    <col width="4.35" customWidth="1" style="63" min="1" max="1"/>
    <col width="37" customWidth="1" style="63" min="2" max="2"/>
    <col width="67.47" customWidth="1" style="63" min="3" max="3"/>
    <col width="21.78" customWidth="1" style="63" min="4" max="4"/>
  </cols>
  <sheetData>
    <row r="2" ht="24" customHeight="1" s="64">
      <c r="A2" s="65" t="inlineStr">
        <is>
          <t>紬（つむぎ）｜この事業の変わらない中身</t>
        </is>
      </c>
    </row>
    <row r="3" ht="15" customHeight="1" s="64">
      <c r="A3" s="66" t="inlineStr">
        <is>
          <t>2026-09-14改定。価格の正本はサイト、Excelは事業検討と配布のための写しです。</t>
        </is>
      </c>
    </row>
    <row r="5" ht="30" customHeight="1" s="64">
      <c r="A5" s="67" t="n"/>
      <c r="B5" s="67" t="inlineStr">
        <is>
          <t>シート</t>
        </is>
      </c>
      <c r="C5" s="67" t="inlineStr">
        <is>
          <t>何が入っているか</t>
        </is>
      </c>
      <c r="D5" s="67" t="inlineStr">
        <is>
          <t>性格</t>
        </is>
      </c>
    </row>
    <row r="6" ht="27.75" customHeight="1" s="64">
      <c r="A6" s="68" t="inlineStr">
        <is>
          <t>台帳</t>
        </is>
      </c>
      <c r="B6" s="69" t="inlineStr">
        <is>
          <t>料金レバー</t>
        </is>
      </c>
      <c r="C6" s="70" t="inlineStr">
        <is>
          <t>すべての金額の入力欄。青い数字がここにだけある。ここを直すと他のシートが追随する</t>
        </is>
      </c>
      <c r="D6" s="71" t="inlineStr">
        <is>
          <t>直す</t>
        </is>
      </c>
    </row>
    <row r="7" ht="27.75" customHeight="1" s="64">
      <c r="A7" s="68" t="n"/>
      <c r="B7" s="69" t="inlineStr">
        <is>
          <t>制作プラン</t>
        </is>
      </c>
      <c r="C7" s="72" t="inlineStr">
        <is>
          <t>3プラン＋シングル。料金と作業枠は2026-09-14改定。着手50%・検収50%、継続支援は月単位。</t>
        </is>
      </c>
      <c r="D7" s="73" t="inlineStr">
        <is>
          <t>計算</t>
        </is>
      </c>
    </row>
    <row r="8" ht="27.75" customHeight="1" s="64">
      <c r="A8" s="68" t="n"/>
      <c r="B8" s="69" t="inlineStr">
        <is>
          <t>運用プラン</t>
        </is>
      </c>
      <c r="C8" s="72" t="inlineStr">
        <is>
          <t>4プラン。月額と、含まれるもの</t>
        </is>
      </c>
      <c r="D8" s="73" t="inlineStr">
        <is>
          <t>計算</t>
        </is>
      </c>
    </row>
    <row r="9" ht="27.75" customHeight="1" s="64">
      <c r="A9" s="68" t="n"/>
      <c r="B9" s="69" t="inlineStr">
        <is>
          <t>オプション・標準装備</t>
        </is>
      </c>
      <c r="C9" s="70" t="inlineStr">
        <is>
          <t>別途いただくもの8件と、標準で含むもの5件</t>
        </is>
      </c>
      <c r="D9" s="74" t="inlineStr">
        <is>
          <t>読む</t>
        </is>
      </c>
    </row>
    <row r="10" ht="27.75" customHeight="1" s="64">
      <c r="A10" s="68" t="n"/>
      <c r="B10" s="69" t="inlineStr">
        <is>
          <t>変更と継続支援</t>
        </is>
      </c>
      <c r="C10" s="70" t="inlineStr">
        <is>
          <t>何回でも無料の9件と、別途お見積りの6件</t>
        </is>
      </c>
      <c r="D10" s="74" t="inlineStr">
        <is>
          <t>読む</t>
        </is>
      </c>
    </row>
    <row r="11" ht="27.75" customHeight="1" s="64">
      <c r="A11" s="68" t="n"/>
      <c r="B11" s="69" t="inlineStr">
        <is>
          <t>月額制との比較</t>
        </is>
      </c>
      <c r="C11" s="72" t="inlineStr">
        <is>
          <t>36か月の総額。当方が高くなる行も残してある</t>
        </is>
      </c>
      <c r="D11" s="73" t="inlineStr">
        <is>
          <t>計算</t>
        </is>
      </c>
    </row>
    <row r="12" ht="27.75" customHeight="1" s="64">
      <c r="A12" s="68" t="n"/>
      <c r="B12" s="69" t="inlineStr">
        <is>
          <t>補助金</t>
        </is>
      </c>
      <c r="C12" s="70" t="inlineStr">
        <is>
          <t>持続化補助金のパッケージと、補助額・自己負担の計算</t>
        </is>
      </c>
      <c r="D12" s="73" t="inlineStr">
        <is>
          <t>計算</t>
        </is>
      </c>
    </row>
    <row r="13" ht="27.75" customHeight="1" s="64">
      <c r="A13" s="68" t="n"/>
      <c r="B13" s="69" t="inlineStr">
        <is>
          <t>ポータル掲載費</t>
        </is>
      </c>
      <c r="C13" s="70" t="inlineStr">
        <is>
          <t>食べログの各プランと、1段下げた差額で運用費が出るか</t>
        </is>
      </c>
      <c r="D13" s="73" t="inlineStr">
        <is>
          <t>計算</t>
        </is>
      </c>
    </row>
    <row r="14" ht="27.75" customHeight="1" s="64">
      <c r="A14" s="68" t="inlineStr">
        <is>
          <t>中身</t>
        </is>
      </c>
      <c r="B14" s="69" t="inlineStr">
        <is>
          <t>納品する仕様20</t>
        </is>
      </c>
      <c r="C14" s="70" t="inlineStr">
        <is>
          <t>全業種共通の20項目と、その根拠</t>
        </is>
      </c>
      <c r="D14" s="74" t="inlineStr">
        <is>
          <t>読む</t>
        </is>
      </c>
    </row>
    <row r="15" ht="27.75" customHeight="1" s="64">
      <c r="A15" s="68" t="n"/>
      <c r="B15" s="69" t="inlineStr">
        <is>
          <t>売らないもの</t>
        </is>
      </c>
      <c r="C15" s="70" t="inlineStr">
        <is>
          <t>売らないと決めた5件と、その理由</t>
        </is>
      </c>
      <c r="D15" s="74" t="inlineStr">
        <is>
          <t>読む</t>
        </is>
      </c>
    </row>
    <row r="16" ht="27.75" customHeight="1" s="64">
      <c r="A16" s="68" t="n"/>
      <c r="B16" s="69" t="inlineStr">
        <is>
          <t>業種別</t>
        </is>
      </c>
      <c r="C16" s="72" t="inlineStr">
        <is>
          <t>4業種の必ず入れるもの／作らないもの／財源／推奨プラン</t>
        </is>
      </c>
      <c r="D16" s="74" t="inlineStr">
        <is>
          <t>読む</t>
        </is>
      </c>
    </row>
    <row r="17" ht="27.75" customHeight="1" s="64">
      <c r="A17" s="68" t="n"/>
      <c r="B17" s="69" t="inlineStr">
        <is>
          <t>ページ一覧</t>
        </is>
      </c>
      <c r="C17" s="70" t="inlineStr">
        <is>
          <t>サイトの21ページ</t>
        </is>
      </c>
      <c r="D17" s="74" t="inlineStr">
        <is>
          <t>読む</t>
        </is>
      </c>
    </row>
    <row r="18" ht="27.75" customHeight="1" s="64">
      <c r="A18" s="68" t="n"/>
      <c r="B18" s="69" t="inlineStr">
        <is>
          <t>事業の基本</t>
        </is>
      </c>
      <c r="C18" s="70" t="inlineStr">
        <is>
          <t>屋号・対応エリア・約束・実測値</t>
        </is>
      </c>
      <c r="D18" s="74" t="inlineStr">
        <is>
          <t>読む</t>
        </is>
      </c>
    </row>
    <row r="19" ht="27.75" customHeight="1" s="64">
      <c r="A19" s="68" t="inlineStr">
        <is>
          <t>配布</t>
        </is>
      </c>
      <c r="B19" s="69" t="inlineStr">
        <is>
          <t>配布用_料金表</t>
        </is>
      </c>
      <c r="C19" s="70" t="inlineStr">
        <is>
          <t>お客様にそのまま見せられる料金表。計算式なし</t>
        </is>
      </c>
      <c r="D19" s="75" t="inlineStr">
        <is>
          <t>見せる</t>
        </is>
      </c>
    </row>
    <row r="20" ht="27.75" customHeight="1" s="64">
      <c r="A20" s="68" t="n"/>
      <c r="B20" s="69" t="inlineStr">
        <is>
          <t>配布用_36か月の総額</t>
        </is>
      </c>
      <c r="C20" s="70" t="inlineStr">
        <is>
          <t>月額制との総額比較。お客様にそのまま見せられる</t>
        </is>
      </c>
      <c r="D20" s="75" t="inlineStr">
        <is>
          <t>見せる</t>
        </is>
      </c>
    </row>
    <row r="22" ht="24" customHeight="1" s="64">
      <c r="A22" s="65" t="inlineStr">
        <is>
          <t>凡例と、触るときの約束</t>
        </is>
      </c>
    </row>
    <row r="24" ht="18.75" customHeight="1" s="64">
      <c r="B24" s="76" t="inlineStr">
        <is>
          <t>■</t>
        </is>
      </c>
      <c r="C24" s="77" t="inlineStr">
        <is>
          <t>青い数字＝直していい入力欄。『料金レバー』にしか置いていない</t>
        </is>
      </c>
    </row>
    <row r="25" ht="18.75" customHeight="1" s="64">
      <c r="B25" s="77" t="inlineStr">
        <is>
          <t>■</t>
        </is>
      </c>
      <c r="C25" s="77" t="inlineStr">
        <is>
          <t>黒い数字＝計算式。直接書き換えない（レバーを直せば動く）</t>
        </is>
      </c>
    </row>
    <row r="26" ht="18.75" customHeight="1" s="64">
      <c r="B26" s="78" t="inlineStr">
        <is>
          <t>■</t>
        </is>
      </c>
      <c r="C26" s="77" t="inlineStr">
        <is>
          <t>この本は写し。正本は src/content/prices.ts</t>
        </is>
      </c>
    </row>
    <row r="27" ht="18.75" customHeight="1" s="64">
      <c r="B27" s="79" t="inlineStr">
        <is>
          <t>■</t>
        </is>
      </c>
      <c r="C27" s="77" t="inlineStr">
        <is>
          <t>サイトに出る金額を変えるときは prices.ts を直す。この Excel を直してもサイトは変わらない</t>
        </is>
      </c>
    </row>
    <row r="28" ht="18.75" customHeight="1" s="64">
      <c r="B28" s="78" t="inlineStr">
        <is>
          <t>■</t>
        </is>
      </c>
      <c r="C28" s="80" t="inlineStr">
        <is>
          <t>prices.ts を直したら npm run build → verify.py。表示と正本の一致は機械が見ている</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tabColor rgb="FF1F3049"/>
    <outlinePr summaryBelow="1" summaryRight="1"/>
    <pageSetUpPr fitToPage="0"/>
  </sheetPr>
  <dimension ref="A2:C20"/>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9.4453125" defaultRowHeight="15" customHeight="0" zeroHeight="0" outlineLevelRow="0"/>
  <cols>
    <col width="28.3" customWidth="1" style="63" min="1" max="1"/>
    <col width="50.06" customWidth="1" style="63" min="2" max="3"/>
  </cols>
  <sheetData>
    <row r="2" ht="24" customHeight="1" s="64">
      <c r="A2" s="65" t="inlineStr">
        <is>
          <t>事業の基本</t>
        </is>
      </c>
    </row>
    <row r="3" ht="15" customHeight="1" s="64">
      <c r="A3" s="81" t="inlineStr">
        <is>
          <t>屋号・対応エリア・お約束・測った数字。</t>
        </is>
      </c>
    </row>
    <row r="5" ht="30" customHeight="1" s="64">
      <c r="A5" s="67" t="inlineStr">
        <is>
          <t>項目</t>
        </is>
      </c>
      <c r="B5" s="67" t="inlineStr">
        <is>
          <t>内容</t>
        </is>
      </c>
      <c r="C5" s="67" t="inlineStr">
        <is>
          <t>備考</t>
        </is>
      </c>
    </row>
    <row r="6" ht="30" customHeight="1" s="64">
      <c r="A6" s="82" t="inlineStr">
        <is>
          <t>屋号</t>
        </is>
      </c>
      <c r="B6" s="83" t="inlineStr">
        <is>
          <t>紬（つむぎ）</t>
        </is>
      </c>
      <c r="C6" s="84" t="inlineStr">
        <is>
          <t>一文字の漢字。読みを括弧で添える</t>
        </is>
      </c>
    </row>
    <row r="7" ht="30" customHeight="1" s="64">
      <c r="A7" s="82" t="inlineStr">
        <is>
          <t>事業</t>
        </is>
      </c>
      <c r="B7" s="83" t="inlineStr">
        <is>
          <t>小規模事業者向けのホームページ制作と運用</t>
        </is>
      </c>
      <c r="C7" s="84" t="inlineStr">
        <is>
          <t>本人の月140時間を計画上限にする</t>
        </is>
      </c>
    </row>
    <row r="8" ht="30" customHeight="1" s="64">
      <c r="A8" s="82" t="inlineStr">
        <is>
          <t>対応エリア</t>
        </is>
      </c>
      <c r="B8" s="83" t="inlineStr">
        <is>
          <t>全国</t>
        </is>
      </c>
      <c r="C8" s="84" t="inlineStr">
        <is>
          <t>打ち合わせはオンラインと電話。全国どこでもお受けします。</t>
        </is>
      </c>
    </row>
    <row r="9" ht="30" customHeight="1" s="64">
      <c r="A9" s="82" t="inlineStr">
        <is>
          <t>対象業種</t>
        </is>
      </c>
      <c r="B9" s="83" t="inlineStr">
        <is>
          <t>顧客業種は未定。課題別に最初の6件で検証</t>
        </is>
      </c>
      <c r="C9" s="84" t="inlineStr">
        <is>
          <t>値段を業種で変えず、価値と工数を検証</t>
        </is>
      </c>
    </row>
    <row r="10" ht="30" customHeight="1" s="64">
      <c r="A10" s="82" t="inlineStr">
        <is>
          <t>一番の主張</t>
        </is>
      </c>
      <c r="B10" s="83" t="inlineStr">
        <is>
          <t>借地権のホームページか、所有権のホームページか</t>
        </is>
      </c>
      <c r="C10" s="84" t="inlineStr">
        <is>
          <t>月額制は借地。やめた日に更地。当方は土地ごと渡す</t>
        </is>
      </c>
    </row>
    <row r="11" ht="30" customHeight="1" s="64">
      <c r="A11" s="82" t="inlineStr">
        <is>
          <t>所有の4要素</t>
        </is>
      </c>
      <c r="B11" s="83" t="inlineStr">
        <is>
          <t>① 住所＝ドメイン　② 建物＝ソースコード　③ 地盤＝置き場所　④ 家具＝写真と原稿</t>
        </is>
      </c>
      <c r="C11" s="84" t="inlineStr">
        <is>
          <t>どれも『その場で確かめられる形』にしてある</t>
        </is>
      </c>
    </row>
    <row r="12" ht="30" customHeight="1" s="64">
      <c r="A12" s="82" t="inlineStr">
        <is>
          <t>返答のお約束</t>
        </is>
      </c>
      <c r="B12" s="85" t="inlineStr">
        <is>
          <t>1営業日以内</t>
        </is>
      </c>
      <c r="C12" s="84" t="inlineStr">
        <is>
          <t>実績値は計測を始めてから載せる</t>
        </is>
      </c>
    </row>
    <row r="13" ht="30" customHeight="1" s="64">
      <c r="A13" s="82" t="inlineStr">
        <is>
          <t>表示速度（実測）</t>
        </is>
      </c>
      <c r="B13" s="83" t="inlineStr">
        <is>
          <t>最新の検証レポートを参照</t>
        </is>
      </c>
      <c r="C13" s="84" t="inlineStr">
        <is>
          <t>毎回のビルドで測り直す。手で書かない</t>
        </is>
      </c>
    </row>
    <row r="14" ht="30" customHeight="1" s="64">
      <c r="A14" s="82" t="inlineStr">
        <is>
          <t>実行時JavaScript</t>
        </is>
      </c>
      <c r="B14" s="85" t="inlineStr">
        <is>
          <t>0バイト（全21ページ）</t>
        </is>
      </c>
      <c r="C14" s="84" t="inlineStr">
        <is>
          <t>③地盤の根拠。アイランドを足すと崩れる</t>
        </is>
      </c>
    </row>
    <row r="15" ht="30" customHeight="1" s="64">
      <c r="A15" s="82" t="inlineStr">
        <is>
          <t>自動検査</t>
        </is>
      </c>
      <c r="B15" s="85" t="inlineStr">
        <is>
          <t>public/verify-report.json を参照</t>
        </is>
      </c>
      <c r="C15" s="86" t="inlineStr">
        <is>
          <t>1つでも落ちたら納品しない</t>
        </is>
      </c>
    </row>
    <row r="16" ht="30" customHeight="1" s="64">
      <c r="A16" s="82" t="inlineStr">
        <is>
          <t>運用の契約単位</t>
        </is>
      </c>
      <c r="B16" s="83" t="inlineStr">
        <is>
          <t>月単位</t>
        </is>
      </c>
      <c r="C16" s="84" t="inlineStr">
        <is>
          <t>前月末までの申出を翌月から適用</t>
        </is>
      </c>
    </row>
    <row r="17" ht="30" customHeight="1" s="64">
      <c r="A17" s="82" t="inlineStr">
        <is>
          <t>制作の支払い</t>
        </is>
      </c>
      <c r="B17" s="83" t="inlineStr">
        <is>
          <t>着手50%・検収50%</t>
        </is>
      </c>
      <c r="C17" s="84" t="inlineStr">
        <is>
          <t>自社24回分割の新規受付なし</t>
        </is>
      </c>
    </row>
    <row r="18" ht="30" customHeight="1" s="64">
      <c r="A18" s="82" t="inlineStr">
        <is>
          <t>公開前の状態</t>
        </is>
      </c>
      <c r="B18" s="85" t="inlineStr">
        <is>
          <t>PLACEHOLDER=True（電話番号・住所が仮）</t>
        </is>
      </c>
      <c r="C18" s="84" t="inlineStr">
        <is>
          <t>公開前に False にする。検査が WARN で見張っている</t>
        </is>
      </c>
    </row>
    <row r="20" ht="27.75" customHeight="1" s="64">
      <c r="A20" s="87" t="inlineStr">
        <is>
          <t>未解決: 契約確認・フォーム受信・事業者情報・屋号確認・保守の提供体制。撮影は別見積もり、CMS商品は受付準備中。</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FFB8860B"/>
    <outlinePr summaryBelow="1" summaryRight="1"/>
    <pageSetUpPr fitToPage="0"/>
  </sheetPr>
  <dimension ref="A2:E57"/>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9.4453125" defaultRowHeight="15" customHeight="0" zeroHeight="0" outlineLevelRow="0"/>
  <cols>
    <col width="6.53" customWidth="1" style="63" min="1" max="1"/>
    <col width="32.65" customWidth="1" style="63" min="2" max="2"/>
    <col width="17.41" customWidth="1" style="63" min="3" max="3"/>
    <col width="15.22" customWidth="1" style="63" min="4" max="4"/>
    <col width="56.59" customWidth="1" style="63" min="5" max="5"/>
  </cols>
  <sheetData>
    <row r="2" ht="24" customHeight="1" s="64">
      <c r="A2" s="65" t="inlineStr">
        <is>
          <t>料金レバー（ここだけ直す）</t>
        </is>
      </c>
    </row>
    <row r="3" ht="15" customHeight="1" s="64">
      <c r="A3" s="81" t="inlineStr">
        <is>
          <t>青い数字は試算用の入力。料金の正本はサイトです。支援は月単位・前月末の申出で変更できます。</t>
        </is>
      </c>
    </row>
    <row r="5" ht="30" customHeight="1" s="64">
      <c r="A5" s="67" t="n"/>
      <c r="B5" s="67" t="inlineStr">
        <is>
          <t>項目</t>
        </is>
      </c>
      <c r="C5" s="67" t="inlineStr">
        <is>
          <t>値</t>
        </is>
      </c>
      <c r="D5" s="67" t="inlineStr">
        <is>
          <t>単位</t>
        </is>
      </c>
      <c r="E5" s="67" t="inlineStr">
        <is>
          <t>意味・根拠</t>
        </is>
      </c>
    </row>
    <row r="6" ht="21.75" customHeight="1" s="64">
      <c r="B6" s="88" t="inlineStr">
        <is>
          <t>制作（買い切り・税別）</t>
        </is>
      </c>
      <c r="C6" s="89" t="n"/>
      <c r="D6" s="89" t="n"/>
      <c r="E6" s="89" t="n"/>
    </row>
    <row r="7" ht="25.5" customHeight="1" s="64">
      <c r="B7" s="69" t="inlineStr">
        <is>
          <t>入口をつくる</t>
        </is>
      </c>
      <c r="C7" s="90" t="n">
        <v>79800</v>
      </c>
      <c r="D7" s="91" t="inlineStr">
        <is>
          <t>円</t>
        </is>
      </c>
      <c r="E7" s="86" t="inlineStr">
        <is>
          <t>1ページ・確認1回</t>
        </is>
      </c>
    </row>
    <row r="8" ht="25.5" customHeight="1" s="64">
      <c r="B8" s="69" t="inlineStr">
        <is>
          <t>事業の土台をつくる</t>
        </is>
      </c>
      <c r="C8" s="90" t="n">
        <v>198000</v>
      </c>
      <c r="D8" s="91" t="inlineStr">
        <is>
          <t>円</t>
        </is>
      </c>
      <c r="E8" s="84" t="inlineStr">
        <is>
          <t>最大6ページ・確認2回</t>
        </is>
      </c>
    </row>
    <row r="9" ht="25.5" customHeight="1" s="64">
      <c r="B9" s="69" t="inlineStr">
        <is>
          <t>情報を育てる</t>
        </is>
      </c>
      <c r="C9" s="90" t="n">
        <v>398000</v>
      </c>
      <c r="D9" s="91" t="inlineStr">
        <is>
          <t>円</t>
        </is>
      </c>
      <c r="E9" s="84" t="inlineStr">
        <is>
          <t>最大9ページ・受付準備中</t>
        </is>
      </c>
    </row>
    <row r="10" ht="25.5" customHeight="1" s="64">
      <c r="B10" s="69" t="n"/>
      <c r="C10" s="92" t="n"/>
      <c r="D10" s="91" t="n"/>
      <c r="E10" s="84" t="n"/>
    </row>
    <row r="11" ht="21.75" customHeight="1" s="64">
      <c r="B11" s="88" t="inlineStr">
        <is>
          <t>支払・月次作業枠・外部費</t>
        </is>
      </c>
      <c r="C11" s="89" t="n"/>
      <c r="D11" s="89" t="n"/>
      <c r="E11" s="89" t="n"/>
    </row>
    <row r="12" ht="25.5" customHeight="1" s="64">
      <c r="B12" s="69" t="inlineStr">
        <is>
          <t>着手金の割合</t>
        </is>
      </c>
      <c r="C12" s="93" t="n">
        <v>0.5</v>
      </c>
      <c r="D12" s="91" t="inlineStr">
        <is>
          <t>割合</t>
        </is>
      </c>
      <c r="E12" s="84" t="inlineStr">
        <is>
          <t>検収時に残額。自社24回分割の新規受付なし</t>
        </is>
      </c>
    </row>
    <row r="13" ht="25.5" customHeight="1" s="64">
      <c r="B13" s="69" t="inlineStr">
        <is>
          <t>整える 作業枠</t>
        </is>
      </c>
      <c r="C13" s="90" t="n">
        <v>30</v>
      </c>
      <c r="D13" s="91" t="inlineStr">
        <is>
          <t>分/月</t>
        </is>
      </c>
      <c r="E13" s="84" t="inlineStr">
        <is>
          <t>月合算を5分単位で切上げ。依頼ごとの切上げなし</t>
        </is>
      </c>
    </row>
    <row r="14" ht="25.5" customHeight="1" s="64">
      <c r="B14" s="69" t="inlineStr">
        <is>
          <t>育てる 作業枠</t>
        </is>
      </c>
      <c r="C14" s="90" t="n">
        <v>90</v>
      </c>
      <c r="D14" s="91" t="inlineStr">
        <is>
          <t>分/月</t>
        </is>
      </c>
      <c r="E14" s="84" t="inlineStr">
        <is>
          <t>通常変更と改善の合計。繰越なし</t>
        </is>
      </c>
    </row>
    <row r="15" ht="25.5" customHeight="1" s="64">
      <c r="B15" s="69" t="inlineStr">
        <is>
          <t>育てる 打合せ</t>
        </is>
      </c>
      <c r="C15" s="90" t="n">
        <v>30</v>
      </c>
      <c r="D15" s="91" t="inlineStr">
        <is>
          <t>分/月</t>
        </is>
      </c>
      <c r="E15" s="84" t="inlineStr">
        <is>
          <t>作業枠とは別</t>
        </is>
      </c>
    </row>
    <row r="16" ht="25.5" customHeight="1" s="64">
      <c r="B16" s="69" t="inlineStr">
        <is>
          <t>外部費 概算</t>
        </is>
      </c>
      <c r="C16" s="90" t="n">
        <v>3500</v>
      </c>
      <c r="D16" s="91" t="inlineStr">
        <is>
          <t>円/月</t>
        </is>
      </c>
      <c r="E16" s="84" t="inlineStr">
        <is>
          <t>見積時に契約先・為替・利用量で更新。上限保証ではない</t>
        </is>
      </c>
    </row>
    <row r="17" ht="25.5" customHeight="1" s="64">
      <c r="B17" s="69" t="inlineStr">
        <is>
          <t>消費税率</t>
        </is>
      </c>
      <c r="C17" s="93" t="n">
        <v>0.1</v>
      </c>
      <c r="D17" s="91" t="inlineStr">
        <is>
          <t>割合</t>
        </is>
      </c>
      <c r="E17" s="84" t="inlineStr">
        <is>
          <t>税込比較用</t>
        </is>
      </c>
    </row>
    <row r="18" ht="25.5" customHeight="1" s="64">
      <c r="B18" s="69" t="inlineStr">
        <is>
          <t>増築時の充当期限</t>
        </is>
      </c>
      <c r="C18" s="90" t="n">
        <v>12</v>
      </c>
      <c r="D18" s="91" t="inlineStr">
        <is>
          <t>か月</t>
        </is>
      </c>
      <c r="E18" s="84" t="inlineStr">
        <is>
          <t>同一事業・再利用できる構成・1回。撮影/外部費/支援は対象外</t>
        </is>
      </c>
    </row>
    <row r="19" ht="21.75" customHeight="1" s="64">
      <c r="B19" s="88" t="inlineStr">
        <is>
          <t>運用（月額・税別）</t>
        </is>
      </c>
      <c r="C19" s="89" t="n"/>
      <c r="D19" s="89" t="n"/>
      <c r="E19" s="89" t="n"/>
    </row>
    <row r="20" ht="25.5" customHeight="1" s="64">
      <c r="B20" s="69" t="inlineStr">
        <is>
          <t>守る</t>
        </is>
      </c>
      <c r="C20" s="90" t="n">
        <v>3900</v>
      </c>
      <c r="D20" s="91" t="inlineStr">
        <is>
          <t>円/月</t>
        </is>
      </c>
      <c r="E20" s="84" t="inlineStr">
        <is>
          <t>通常変更なし。提供条件を契約前に確認</t>
        </is>
      </c>
    </row>
    <row r="21" ht="25.5" customHeight="1" s="64">
      <c r="B21" s="69" t="inlineStr">
        <is>
          <t>整える</t>
        </is>
      </c>
      <c r="C21" s="90" t="n">
        <v>9800</v>
      </c>
      <c r="D21" s="91" t="inlineStr">
        <is>
          <t>円/月</t>
        </is>
      </c>
      <c r="E21" s="84" t="inlineStr">
        <is>
          <t>守る＋月30分の変更</t>
        </is>
      </c>
    </row>
    <row r="22" ht="25.5" customHeight="1" s="64">
      <c r="B22" s="69" t="inlineStr">
        <is>
          <t>育てる</t>
        </is>
      </c>
      <c r="C22" s="90" t="n">
        <v>29800</v>
      </c>
      <c r="D22" s="91" t="inlineStr">
        <is>
          <t>円/月</t>
        </is>
      </c>
      <c r="E22" s="84" t="inlineStr">
        <is>
          <t>守る＋月90分の作業と30分の打合せ</t>
        </is>
      </c>
    </row>
    <row r="23" ht="25.5" customHeight="1" s="64">
      <c r="B23" s="69" t="inlineStr">
        <is>
          <t>自分で管理</t>
        </is>
      </c>
      <c r="C23" s="90" t="n">
        <v>0</v>
      </c>
      <c r="D23" s="91" t="inlineStr">
        <is>
          <t>円/月</t>
        </is>
      </c>
      <c r="E23" s="84" t="inlineStr">
        <is>
          <t>外部費は別。継続作業は含まない</t>
        </is>
      </c>
    </row>
    <row r="24" ht="21.75" customHeight="1" s="64">
      <c r="B24" s="88" t="inlineStr">
        <is>
          <t>月額制（他社の公開料金・比較の相手）</t>
        </is>
      </c>
      <c r="C24" s="89" t="n"/>
      <c r="D24" s="89" t="n"/>
      <c r="E24" s="89" t="n"/>
    </row>
    <row r="25" ht="25.5" customHeight="1" s="64">
      <c r="B25" s="69" t="inlineStr">
        <is>
          <t>比較する月数</t>
        </is>
      </c>
      <c r="C25" s="90" t="n">
        <v>36</v>
      </c>
      <c r="D25" s="91" t="inlineStr">
        <is>
          <t>か月</t>
        </is>
      </c>
      <c r="E25" s="84" t="inlineStr">
        <is>
          <t>月額制各社が『譲渡』『契約満了』の区切りに使う月数に合わせた</t>
        </is>
      </c>
    </row>
    <row r="26" ht="25.5" customHeight="1" s="64">
      <c r="B26" s="69" t="inlineStr">
        <is>
          <t>月額制A社 1ページ 月額</t>
        </is>
      </c>
      <c r="C26" s="92" t="n">
        <v>9800</v>
      </c>
      <c r="D26" s="91" t="inlineStr">
        <is>
          <t>円</t>
        </is>
      </c>
      <c r="E26" s="84" t="inlineStr">
        <is>
          <t>公開料金の参考。役務は同一でない。https://www.propagateinc.com/web-design / 2026-09-14</t>
        </is>
      </c>
    </row>
    <row r="27" ht="25.5" customHeight="1" s="64">
      <c r="B27" s="69" t="inlineStr">
        <is>
          <t>月額制A社 2〜6ページ 月額</t>
        </is>
      </c>
      <c r="C27" s="92" t="n">
        <v>14800</v>
      </c>
      <c r="D27" s="91" t="inlineStr">
        <is>
          <t>円</t>
        </is>
      </c>
      <c r="E27" s="84" t="inlineStr">
        <is>
          <t>公開料金の参考。役務は同一でない。https://www.propagateinc.com/web-design / 2026-09-14</t>
        </is>
      </c>
    </row>
    <row r="28" ht="25.5" customHeight="1" s="64">
      <c r="B28" s="69" t="inlineStr">
        <is>
          <t>月額制A社 7〜12ページ 月額</t>
        </is>
      </c>
      <c r="C28" s="92" t="n">
        <v>19800</v>
      </c>
      <c r="D28" s="91" t="inlineStr">
        <is>
          <t>円</t>
        </is>
      </c>
      <c r="E28" s="84" t="inlineStr">
        <is>
          <t>公開料金の参考。役務は同一でない。https://www.propagateinc.com/web-design / 2026-09-14</t>
        </is>
      </c>
    </row>
    <row r="29" ht="25.5" customHeight="1" s="64">
      <c r="B29" s="69" t="inlineStr">
        <is>
          <t>月額制の初期費用</t>
        </is>
      </c>
      <c r="C29" s="92" t="n">
        <v>5000</v>
      </c>
      <c r="D29" s="91" t="inlineStr">
        <is>
          <t>円</t>
        </is>
      </c>
      <c r="E29" s="84" t="inlineStr">
        <is>
          <t>公開料金の参考。役務は同一でない。https://www.propagateinc.com/web-design / 2026-09-14</t>
        </is>
      </c>
    </row>
    <row r="30" ht="21.75" customHeight="1" s="64">
      <c r="B30" s="88" t="inlineStr">
        <is>
          <t>補助金（小規模事業者持続化補助金）</t>
        </is>
      </c>
      <c r="C30" s="89" t="n"/>
      <c r="D30" s="89" t="n"/>
      <c r="E30" s="89" t="n"/>
    </row>
    <row r="31" ht="25.5" customHeight="1" s="64">
      <c r="B31" s="69" t="inlineStr">
        <is>
          <t>補助率</t>
        </is>
      </c>
      <c r="C31" s="94" t="n">
        <v>0.666666666666667</v>
      </c>
      <c r="D31" s="91" t="inlineStr">
        <is>
          <t>—</t>
        </is>
      </c>
      <c r="E31" s="86" t="inlineStr">
        <is>
          <t>3分の2</t>
        </is>
      </c>
    </row>
    <row r="32" ht="25.5" customHeight="1" s="64">
      <c r="B32" s="69" t="inlineStr">
        <is>
          <t>補助上限</t>
        </is>
      </c>
      <c r="C32" s="92" t="n">
        <v>500000</v>
      </c>
      <c r="D32" s="91" t="inlineStr">
        <is>
          <t>円</t>
        </is>
      </c>
      <c r="E32" s="84" t="inlineStr">
        <is>
          <t>全体の上限</t>
        </is>
      </c>
    </row>
    <row r="33" ht="25.5" customHeight="1" s="64">
      <c r="B33" s="69" t="inlineStr">
        <is>
          <t>ウェブ関連費の上限</t>
        </is>
      </c>
      <c r="C33" s="92" t="n">
        <v>300000</v>
      </c>
      <c r="D33" s="91" t="inlineStr">
        <is>
          <t>円</t>
        </is>
      </c>
      <c r="E33" s="84" t="inlineStr">
        <is>
          <t>補助金額としての上限。経費額ではない</t>
        </is>
      </c>
    </row>
    <row r="34" ht="21.75" customHeight="1" s="64">
      <c r="B34" s="88" t="inlineStr">
        <is>
          <t>ポータル掲載費（食べログ・公開料金／税込）</t>
        </is>
      </c>
      <c r="C34" s="89" t="n"/>
      <c r="D34" s="89" t="n"/>
      <c r="E34" s="89" t="n"/>
    </row>
    <row r="35" ht="25.5" customHeight="1" s="64">
      <c r="B35" s="69" t="inlineStr">
        <is>
          <t>プレミアム10</t>
        </is>
      </c>
      <c r="C35" s="92" t="n">
        <v>110000</v>
      </c>
      <c r="D35" s="91" t="inlineStr">
        <is>
          <t>円</t>
        </is>
      </c>
      <c r="E35" s="84" t="inlineStr">
        <is>
          <t>月額。税抜表記を1.1倍して税込に換算</t>
        </is>
      </c>
    </row>
    <row r="36" ht="25.5" customHeight="1" s="64">
      <c r="B36" s="69" t="inlineStr">
        <is>
          <t>プレミアム5</t>
        </is>
      </c>
      <c r="C36" s="92" t="n">
        <v>55000</v>
      </c>
      <c r="D36" s="91" t="inlineStr">
        <is>
          <t>円</t>
        </is>
      </c>
      <c r="E36" s="84" t="inlineStr">
        <is>
          <t>月額。税抜表記を1.1倍して税込に換算</t>
        </is>
      </c>
    </row>
    <row r="37" ht="25.5" customHeight="1" s="64">
      <c r="B37" s="69" t="inlineStr">
        <is>
          <t>ベーシック</t>
        </is>
      </c>
      <c r="C37" s="92" t="n">
        <v>27500</v>
      </c>
      <c r="D37" s="91" t="inlineStr">
        <is>
          <t>円</t>
        </is>
      </c>
      <c r="E37" s="84" t="inlineStr">
        <is>
          <t>月額。税抜表記を1.1倍して税込に換算</t>
        </is>
      </c>
    </row>
    <row r="38" ht="25.5" customHeight="1" s="64">
      <c r="B38" s="69" t="inlineStr">
        <is>
          <t>ライト</t>
        </is>
      </c>
      <c r="C38" s="92" t="n">
        <v>11000</v>
      </c>
      <c r="D38" s="91" t="inlineStr">
        <is>
          <t>円</t>
        </is>
      </c>
      <c r="E38" s="84" t="inlineStr">
        <is>
          <t>月額。税抜表記を1.1倍して税込に換算</t>
        </is>
      </c>
    </row>
    <row r="39" ht="25.5" customHeight="1" s="64">
      <c r="B39" s="69" t="inlineStr">
        <is>
          <t>無料掲載</t>
        </is>
      </c>
      <c r="C39" s="92" t="n">
        <v>0</v>
      </c>
      <c r="D39" s="91" t="inlineStr">
        <is>
          <t>円</t>
        </is>
      </c>
      <c r="E39" s="84" t="inlineStr">
        <is>
          <t>月額。税抜表記を1.1倍して税込に換算</t>
        </is>
      </c>
    </row>
    <row r="40" ht="25.5" customHeight="1" s="64">
      <c r="B40" s="69" t="inlineStr">
        <is>
          <t>送客手数料（ディナー）</t>
        </is>
      </c>
      <c r="C40" s="92" t="n">
        <v>220</v>
      </c>
      <c r="D40" s="91" t="inlineStr">
        <is>
          <t>円</t>
        </is>
      </c>
      <c r="E40" s="86" t="inlineStr">
        <is>
          <t>1人あたり・税込。新規と常連を区別しない</t>
        </is>
      </c>
    </row>
    <row r="41" ht="25.5" customHeight="1" s="64">
      <c r="B41" s="69" t="inlineStr">
        <is>
          <t>送客手数料（ランチ）</t>
        </is>
      </c>
      <c r="C41" s="92" t="n">
        <v>110</v>
      </c>
      <c r="D41" s="91" t="inlineStr">
        <is>
          <t>円</t>
        </is>
      </c>
      <c r="E41" s="86" t="inlineStr">
        <is>
          <t>1人あたり・税込</t>
        </is>
      </c>
    </row>
    <row r="43" ht="27.75" customHeight="1" s="64">
      <c r="A43" s="87" t="inlineStr">
        <is>
          <t>正本: src/content/prices.ts / 2026-09-14。Excelは写しで、変更してもサイトに反映されません。 比較先: https://www.propagateinc.com/web-design（2026-09-14確認）</t>
        </is>
      </c>
    </row>
    <row r="45" ht="27.75" customHeight="1" s="64">
      <c r="B45" s="69" t="inlineStr">
        <is>
          <t>本人の月間時間</t>
        </is>
      </c>
      <c r="C45" s="90" t="n">
        <v>140</v>
      </c>
      <c r="E45" s="84" t="inlineStr">
        <is>
          <t>ユーザー指定</t>
        </is>
      </c>
    </row>
    <row r="46" ht="27.75" customHeight="1" s="64">
      <c r="B46" s="69" t="inlineStr">
        <is>
          <t>営業・事務</t>
        </is>
      </c>
      <c r="C46" s="90" t="n">
        <v>28</v>
      </c>
      <c r="E46" s="84" t="inlineStr">
        <is>
          <t>仮定</t>
        </is>
      </c>
    </row>
    <row r="47" ht="27.75" customHeight="1" s="64">
      <c r="B47" s="69" t="inlineStr">
        <is>
          <t>予備</t>
        </is>
      </c>
      <c r="C47" s="90" t="n">
        <v>28</v>
      </c>
      <c r="E47" s="84" t="inlineStr">
        <is>
          <t>仮定</t>
        </is>
      </c>
    </row>
    <row r="48" ht="27.75" customHeight="1" s="64">
      <c r="B48" s="69" t="inlineStr">
        <is>
          <t>本人時間の評価単価</t>
        </is>
      </c>
      <c r="C48" s="90" t="n">
        <v>5000</v>
      </c>
      <c r="E48" s="84" t="inlineStr">
        <is>
          <t>仮定・税引後手取りではない</t>
        </is>
      </c>
    </row>
    <row r="49" ht="27.75" customHeight="1" s="64">
      <c r="B49" s="69" t="inlineStr">
        <is>
          <t>土台の制作時間</t>
        </is>
      </c>
      <c r="C49" s="90" t="n">
        <v>15</v>
      </c>
      <c r="E49" s="84" t="inlineStr">
        <is>
          <t>未検証工数</t>
        </is>
      </c>
    </row>
    <row r="50" ht="27.75" customHeight="1" s="64">
      <c r="B50" s="69" t="inlineStr">
        <is>
          <t>情報育成の制作時間</t>
        </is>
      </c>
      <c r="C50" s="90" t="n">
        <v>26</v>
      </c>
      <c r="E50" s="84" t="inlineStr">
        <is>
          <t>未検証工数・提供開始後</t>
        </is>
      </c>
    </row>
    <row r="51" ht="27.75" customHeight="1" s="64">
      <c r="B51" s="69" t="inlineStr">
        <is>
          <t>守るの社内時間</t>
        </is>
      </c>
      <c r="C51" s="95" t="n">
        <v>0.3</v>
      </c>
      <c r="E51" s="84" t="inlineStr">
        <is>
          <t>未検証工数</t>
        </is>
      </c>
    </row>
    <row r="52" ht="27.75" customHeight="1" s="64">
      <c r="B52" s="69" t="inlineStr">
        <is>
          <t>整えるの社内時間</t>
        </is>
      </c>
      <c r="C52" s="95" t="n">
        <v>0.75</v>
      </c>
      <c r="E52" s="84" t="inlineStr">
        <is>
          <t>未検証工数</t>
        </is>
      </c>
    </row>
    <row r="53" ht="27.75" customHeight="1" s="64">
      <c r="B53" s="69" t="inlineStr">
        <is>
          <t>育てるの社内時間</t>
        </is>
      </c>
      <c r="C53" s="90" t="n">
        <v>2.25</v>
      </c>
      <c r="E53" s="84" t="inlineStr">
        <is>
          <t>未検証工数</t>
        </is>
      </c>
    </row>
    <row r="54" ht="27.75" customHeight="1" s="64">
      <c r="B54" s="69" t="inlineStr">
        <is>
          <t>守るの契約社数</t>
        </is>
      </c>
      <c r="C54" s="90" t="n">
        <v>10</v>
      </c>
      <c r="E54" s="84" t="inlineStr">
        <is>
          <t>将来のモデル</t>
        </is>
      </c>
    </row>
    <row r="55" ht="27.75" customHeight="1" s="64">
      <c r="B55" s="69" t="inlineStr">
        <is>
          <t>整えるの契約社数</t>
        </is>
      </c>
      <c r="C55" s="90" t="n">
        <v>16</v>
      </c>
      <c r="E55" s="84" t="inlineStr">
        <is>
          <t>将来のモデル</t>
        </is>
      </c>
    </row>
    <row r="56" ht="27.75" customHeight="1" s="64">
      <c r="B56" s="69" t="inlineStr">
        <is>
          <t>育てるの契約社数</t>
        </is>
      </c>
      <c r="C56" s="90" t="n">
        <v>6</v>
      </c>
      <c r="E56" s="84" t="inlineStr">
        <is>
          <t>将来のモデル</t>
        </is>
      </c>
    </row>
    <row r="57" ht="27.75" customHeight="1" s="64">
      <c r="B57" s="69" t="inlineStr">
        <is>
          <t>工数の増加率</t>
        </is>
      </c>
      <c r="C57" s="95" t="n">
        <v>0.25</v>
      </c>
      <c r="E57" s="84" t="inlineStr">
        <is>
          <t>感度分析の仮定</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4.xml><?xml version="1.0" encoding="utf-8"?>
<worksheet xmlns="http://schemas.openxmlformats.org/spreadsheetml/2006/main">
  <sheetPr filterMode="0">
    <outlinePr summaryBelow="1" summaryRight="1"/>
    <pageSetUpPr fitToPage="1"/>
  </sheetPr>
  <dimension ref="A2:G13"/>
  <sheetViews>
    <sheetView showFormulas="0" showGridLines="0" showRowColHeaders="1" showZeros="1" rightToLeft="0" tabSelected="0"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baseColWidth="8" defaultColWidth="9.4453125" defaultRowHeight="15" customHeight="0" zeroHeight="0" outlineLevelRow="0"/>
  <cols>
    <col width="27.21" customWidth="1" style="63" min="1" max="1"/>
    <col width="13.06" customWidth="1" style="63" min="2" max="3"/>
    <col width="17.41" customWidth="1" style="63" min="4" max="6"/>
    <col width="65.3" customWidth="1" style="63" min="7" max="7"/>
  </cols>
  <sheetData>
    <row r="2" ht="31.5" customHeight="1" s="64">
      <c r="A2" s="96" t="inlineStr">
        <is>
          <t>制作プラン（2026-09-14改定）</t>
        </is>
      </c>
    </row>
    <row r="3" ht="48" customHeight="1" s="64">
      <c r="A3" s="97" t="inlineStr">
        <is>
          <t>全額税別。外部費・撮影は別。着手50%・検収50%。支援は月単位・前月末申出で翌月変更。既存契約への遡及適用なし。</t>
        </is>
      </c>
      <c r="B3" s="98" t="n"/>
      <c r="C3" s="98" t="n"/>
      <c r="D3" s="98" t="n"/>
      <c r="E3" s="98" t="n"/>
      <c r="F3" s="98" t="n"/>
      <c r="G3" s="98" t="n"/>
    </row>
    <row r="5" ht="15" customHeight="1" s="64">
      <c r="A5" s="67" t="inlineStr">
        <is>
          <t>商品</t>
        </is>
      </c>
      <c r="B5" s="67" t="inlineStr">
        <is>
          <t>最大ページ</t>
        </is>
      </c>
      <c r="C5" s="67" t="inlineStr">
        <is>
          <t>週の目安</t>
        </is>
      </c>
      <c r="D5" s="67" t="inlineStr">
        <is>
          <t>制作費</t>
        </is>
      </c>
      <c r="E5" s="67" t="inlineStr">
        <is>
          <t>着手時</t>
        </is>
      </c>
      <c r="F5" s="67" t="inlineStr">
        <is>
          <t>検収時</t>
        </is>
      </c>
      <c r="G5" s="67" t="inlineStr">
        <is>
          <t>提供範囲</t>
        </is>
      </c>
    </row>
    <row r="6" ht="63.75" customHeight="1" s="64">
      <c r="A6" s="99" t="inlineStr">
        <is>
          <t>入口をつくる</t>
        </is>
      </c>
      <c r="B6" s="100" t="n">
        <v>1</v>
      </c>
      <c r="C6" s="100" t="n">
        <v>2</v>
      </c>
      <c r="D6" s="101" t="n">
        <f>料金レバー!$C$7</f>
        <v>79800</v>
      </c>
      <c r="E6" s="101" t="n">
        <f>ROUNDDOWN(D6*料金レバー!$C$12,0)</f>
        <v>39900</v>
      </c>
      <c r="F6" s="101" t="n">
        <f>D6-E6</f>
        <v>39900</v>
      </c>
      <c r="G6" s="99" t="inlineStr">
        <is>
          <t>支給素材を使い、1ページで事業を伝える。既存の構成を選び、確認1回で仕上げます。</t>
        </is>
      </c>
    </row>
    <row r="7" ht="63.75" customHeight="1" s="64">
      <c r="A7" s="99" t="inlineStr">
        <is>
          <t>事業の土台をつくる</t>
        </is>
      </c>
      <c r="B7" s="100" t="n">
        <v>6</v>
      </c>
      <c r="C7" s="100" t="n">
        <v>4</v>
      </c>
      <c r="D7" s="101" t="n">
        <f>料金レバー!$C$8</f>
        <v>198000</v>
      </c>
      <c r="E7" s="101" t="n">
        <f>ROUNDDOWN(D7*料金レバー!$C$12,0)</f>
        <v>99000</v>
      </c>
      <c r="F7" s="101" t="n">
        <f>D7-E7</f>
        <v>99000</v>
      </c>
      <c r="G7" s="99" t="inlineStr">
        <is>
          <t>最大6ページでサービス・料金・信頼情報を整理。写真持込、確認2回。</t>
        </is>
      </c>
    </row>
    <row r="8" ht="63.75" customHeight="1" s="64">
      <c r="A8" s="99" t="inlineStr">
        <is>
          <t>情報を育てる</t>
        </is>
      </c>
      <c r="B8" s="100" t="n">
        <v>9</v>
      </c>
      <c r="C8" s="100" t="n">
        <v>6</v>
      </c>
      <c r="D8" s="101" t="n">
        <f>料金レバー!$C$9</f>
        <v>398000</v>
      </c>
      <c r="E8" s="101" t="n">
        <f>ROUNDDOWN(D8*料金レバー!$C$12,0)</f>
        <v>199000</v>
      </c>
      <c r="F8" s="101" t="n">
        <f>D8-E8</f>
        <v>199000</v>
      </c>
      <c r="G8" s="99" t="inlineStr">
        <is>
          <t>受付準備中。管理画面・記事と事例のテンプレートを提供確認後に受付を開始します。</t>
        </is>
      </c>
    </row>
    <row r="10" ht="64.5" customHeight="1" s="64">
      <c r="A10" s="97" t="inlineStr">
        <is>
          <t>納期は素材・承認が揃った場合の目安。情報を育てるは受付準備中。顧客名義の契約先、ソースと利用可能な素材、手順書を納品します。</t>
        </is>
      </c>
      <c r="B10" s="98" t="n"/>
      <c r="C10" s="98" t="n"/>
      <c r="D10" s="98" t="n"/>
      <c r="E10" s="98" t="n"/>
      <c r="F10" s="98" t="n"/>
      <c r="G10" s="98" t="n"/>
    </row>
    <row r="12" ht="63.75" customHeight="1" s="64">
      <c r="A12" s="99" t="inlineStr">
        <is>
          <t>入口→土台</t>
        </is>
      </c>
      <c r="B12" s="99" t="n"/>
      <c r="C12" s="99" t="n"/>
      <c r="D12" s="101" t="n">
        <f>料金レバー!$C$8-料金レバー!$C$7</f>
        <v>118200</v>
      </c>
      <c r="E12" s="99" t="n"/>
      <c r="F12" s="99" t="n"/>
      <c r="G12" s="99" t="inlineStr">
        <is>
          <t>同一事業・既存構成の再利用・12か月以内・1回の充当</t>
        </is>
      </c>
    </row>
    <row r="13" ht="63.75" customHeight="1" s="64">
      <c r="A13" s="99" t="inlineStr">
        <is>
          <t>土台→情報育成</t>
        </is>
      </c>
      <c r="B13" s="99" t="n"/>
      <c r="C13" s="99" t="n"/>
      <c r="D13" s="101" t="n">
        <f>料金レバー!$C$9-料金レバー!$C$8</f>
        <v>200000</v>
      </c>
      <c r="E13" s="99" t="n"/>
      <c r="F13" s="99" t="n"/>
      <c r="G13" s="99" t="inlineStr">
        <is>
          <t>受付開始後。撮影・外部実費・継続支援は充当の対象外</t>
        </is>
      </c>
    </row>
  </sheetData>
  <mergeCells count="3">
    <mergeCell ref="A3:G3"/>
    <mergeCell ref="A2:G2"/>
    <mergeCell ref="A10:G10"/>
  </mergeCell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1"/>
  </sheetPr>
  <dimension ref="A2:E11"/>
  <sheetViews>
    <sheetView showFormulas="0" showGridLines="0" showRowColHeaders="1" showZeros="1" rightToLeft="0" tabSelected="0"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baseColWidth="8" defaultColWidth="9.4453125" defaultRowHeight="15" customHeight="0" zeroHeight="0" outlineLevelRow="0"/>
  <cols>
    <col width="26.12" customWidth="1" style="63" min="1" max="1"/>
    <col width="19.59" customWidth="1" style="63" min="2" max="3"/>
    <col width="17.41" customWidth="1" style="63" min="4" max="4"/>
    <col width="87.06" customWidth="1" style="63" min="5" max="5"/>
  </cols>
  <sheetData>
    <row r="2" ht="31.5" customHeight="1" s="64">
      <c r="A2" s="96" t="inlineStr">
        <is>
          <t>継続支援（月額・税別）</t>
        </is>
      </c>
    </row>
    <row r="3" ht="48" customHeight="1" s="64">
      <c r="A3" s="97" t="inlineStr">
        <is>
          <t>全額税別。外部費・撮影は別。着手50%・検収50%。支援は月単位・前月末申出で翌月変更。既存契約への遡及適用なし。</t>
        </is>
      </c>
      <c r="B3" s="98" t="n"/>
      <c r="C3" s="98" t="n"/>
      <c r="D3" s="98" t="n"/>
      <c r="E3" s="98" t="n"/>
    </row>
    <row r="5" ht="15" customHeight="1" s="64">
      <c r="A5" s="67" t="inlineStr">
        <is>
          <t>商品</t>
        </is>
      </c>
      <c r="B5" s="67" t="inlineStr">
        <is>
          <t>月額</t>
        </is>
      </c>
      <c r="C5" s="67" t="inlineStr">
        <is>
          <t>月次作業枠(分)</t>
        </is>
      </c>
      <c r="D5" s="67" t="inlineStr">
        <is>
          <t>打合せ(分)</t>
        </is>
      </c>
      <c r="E5" s="67" t="inlineStr">
        <is>
          <t>含むもの</t>
        </is>
      </c>
    </row>
    <row r="6" ht="63.75" customHeight="1" s="64">
      <c r="A6" s="99" t="inlineStr">
        <is>
          <t>自分で管理</t>
        </is>
      </c>
      <c r="B6" s="101" t="n">
        <f>料金レバー!$C$23</f>
        <v>0</v>
      </c>
      <c r="C6" s="100" t="n">
        <v>0</v>
      </c>
      <c r="D6" s="100" t="n">
        <v>0</v>
      </c>
      <c r="E6" s="99" t="inlineStr">
        <is>
          <t>納品時の引継ぎ資料／月次監視・変更作業・継続相談は含みません</t>
        </is>
      </c>
    </row>
    <row r="7" ht="63.75" customHeight="1" s="64">
      <c r="A7" s="99" t="inlineStr">
        <is>
          <t>守る</t>
        </is>
      </c>
      <c r="B7" s="101" t="n">
        <f>料金レバー!$C$20</f>
        <v>3900</v>
      </c>
      <c r="C7" s="100" t="n">
        <v>0</v>
      </c>
      <c r="D7" s="100" t="n">
        <v>0</v>
      </c>
      <c r="E7" s="99" t="inlineStr">
        <is>
          <t>定型監視・期限管理（外部サービス実費別）／週次バックアップの確認／障害時の一次切り分け（営業時間内）／通常の変更・投稿・会議は対象外</t>
        </is>
      </c>
    </row>
    <row r="8" ht="63.75" customHeight="1" s="64">
      <c r="A8" s="99" t="inlineStr">
        <is>
          <t>整える</t>
        </is>
      </c>
      <c r="B8" s="101" t="n">
        <f>料金レバー!$C$21</f>
        <v>9800</v>
      </c>
      <c r="C8" s="101" t="n">
        <f>料金レバー!$C$13</f>
        <v>30</v>
      </c>
      <c r="D8" s="100" t="n">
        <v>0</v>
      </c>
      <c r="E8" s="99" t="inlineStr">
        <is>
          <t>「守る」の内容を含む／月30分の変更作業／作業履歴と使用時間の共有／枠を超える前に翌月対応か追加見積もりを選択</t>
        </is>
      </c>
    </row>
    <row r="9" ht="63.75" customHeight="1" s="64">
      <c r="A9" s="99" t="inlineStr">
        <is>
          <t>育てる</t>
        </is>
      </c>
      <c r="B9" s="101" t="n">
        <f>料金レバー!$C$22</f>
        <v>29800</v>
      </c>
      <c r="C9" s="101" t="n">
        <f>料金レバー!$C$14</f>
        <v>90</v>
      </c>
      <c r="D9" s="101" t="n">
        <f>料金レバー!$C$15</f>
        <v>30</v>
      </c>
      <c r="E9" s="99" t="inlineStr">
        <is>
          <t>「守る」の内容を含む／月90分の改善作業／月30分の打合せ／施策1件の確認記録／作業枠を資料・フォーム・既存SaaS設定にも利用可／広告費・撮影・独自開発・記事の量産は対象外</t>
        </is>
      </c>
    </row>
    <row r="11" ht="64.5" customHeight="1" s="64">
      <c r="A11" s="97" t="inlineStr">
        <is>
          <t>外部費は比較用に月3,500円（税別）を仮置き。実費の上限ではありません。フォーム・保守の提供条件を確認してから契約します。</t>
        </is>
      </c>
      <c r="B11" s="98" t="n"/>
      <c r="C11" s="98" t="n"/>
      <c r="D11" s="98" t="n"/>
      <c r="E11" s="98" t="n"/>
    </row>
  </sheetData>
  <mergeCells count="3">
    <mergeCell ref="A2:E2"/>
    <mergeCell ref="A11:E11"/>
    <mergeCell ref="A3:E3"/>
  </mergeCell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1"/>
  </sheetPr>
  <dimension ref="A2:C15"/>
  <sheetViews>
    <sheetView showFormulas="0" showGridLines="0" showRowColHeaders="1" showZeros="1" rightToLeft="0" tabSelected="0"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baseColWidth="8" defaultColWidth="9.4453125" defaultRowHeight="15" customHeight="0" zeroHeight="0" outlineLevelRow="0"/>
  <cols>
    <col width="52.24" customWidth="1" style="63" min="1" max="1"/>
    <col width="21.78" customWidth="1" style="63" min="2" max="2"/>
    <col width="76.17" customWidth="1" style="63" min="3" max="3"/>
  </cols>
  <sheetData>
    <row r="2" ht="31.5" customHeight="1" s="64">
      <c r="A2" s="96" t="inlineStr">
        <is>
          <t>追加作業の参考見積もり</t>
        </is>
      </c>
    </row>
    <row r="3" ht="48" customHeight="1" s="64">
      <c r="A3" s="97" t="inlineStr">
        <is>
          <t>全額税別。外部費・撮影は別。着手50%・検収50%。支援は月単位・前月末申出で翌月変更。既存契約への遡及適用なし。</t>
        </is>
      </c>
      <c r="B3" s="98" t="n"/>
      <c r="C3" s="98" t="n"/>
    </row>
    <row r="5" ht="15" customHeight="1" s="64">
      <c r="A5" s="67" t="inlineStr">
        <is>
          <t>作業</t>
        </is>
      </c>
      <c r="B5" s="67" t="inlineStr">
        <is>
          <t>参考額（税別）</t>
        </is>
      </c>
      <c r="C5" s="67" t="inlineStr">
        <is>
          <t>条件</t>
        </is>
      </c>
    </row>
    <row r="6" ht="63.75" customHeight="1" s="64">
      <c r="A6" s="99" t="inlineStr">
        <is>
          <t>ページ追加（既存構成にないもの）</t>
        </is>
      </c>
      <c r="B6" s="100" t="n">
        <v>33000</v>
      </c>
      <c r="C6" s="99" t="inlineStr">
        <is>
          <t>原稿・写真の聞き取り込み</t>
        </is>
      </c>
    </row>
    <row r="7" ht="63.75" customHeight="1" s="64">
      <c r="A7" s="99" t="inlineStr">
        <is>
          <t>出張撮影 半日（別見積もり）</t>
        </is>
      </c>
      <c r="B7" s="100" t="n">
        <v>55000</v>
      </c>
      <c r="C7" s="99" t="inlineStr">
        <is>
          <t>移動・編集・調整を含め、着手前に総額を確定</t>
        </is>
      </c>
    </row>
    <row r="8" ht="63.75" customHeight="1" s="64">
      <c r="A8" s="99" t="inlineStr">
        <is>
          <t>出張撮影 1日（別見積もり）</t>
        </is>
      </c>
      <c r="B8" s="100" t="n">
        <v>88000</v>
      </c>
      <c r="C8" s="99" t="inlineStr">
        <is>
          <t>移動・編集・調整を含め、着手前に総額を確定</t>
        </is>
      </c>
    </row>
    <row r="9" ht="63.75" customHeight="1" s="64">
      <c r="A9" s="99" t="inlineStr">
        <is>
          <t>ロゴ制作（3案・使用ルール付き）</t>
        </is>
      </c>
      <c r="B9" s="100" t="n">
        <v>88000</v>
      </c>
      <c r="C9" s="99" t="inlineStr">
        <is>
          <t>—</t>
        </is>
      </c>
    </row>
    <row r="10" ht="63.75" customHeight="1" s="64">
      <c r="A10" s="99" t="inlineStr">
        <is>
          <t>記事の作成（取材あり）</t>
        </is>
      </c>
      <c r="B10" s="100" t="n">
        <v>55000</v>
      </c>
      <c r="C10" s="99" t="inlineStr">
        <is>
          <t>月次枠で完結しない記事制作は別見積もり</t>
        </is>
      </c>
    </row>
    <row r="11" ht="63.75" customHeight="1" s="64">
      <c r="A11" s="99" t="inlineStr">
        <is>
          <t>ランディングページ 1枚</t>
        </is>
      </c>
      <c r="B11" s="100" t="n">
        <v>198000</v>
      </c>
      <c r="C11" s="99" t="inlineStr">
        <is>
          <t>キャンペーン・単一商品向け</t>
        </is>
      </c>
    </row>
    <row r="12" ht="63.75" customHeight="1" s="64">
      <c r="A12" s="99" t="inlineStr">
        <is>
          <t>予約システムの連携</t>
        </is>
      </c>
      <c r="B12" s="100" t="n">
        <v>55000</v>
      </c>
      <c r="C12" s="99" t="inlineStr">
        <is>
          <t>月額はお客様が直接ご契約（当方は設定費のみ）</t>
        </is>
      </c>
    </row>
    <row r="13" ht="63.75" customHeight="1" s="64">
      <c r="A13" s="99" t="inlineStr">
        <is>
          <t>多言語対応 1言語（10ページ以下）</t>
        </is>
      </c>
      <c r="B13" s="100" t="n">
        <v>165000</v>
      </c>
      <c r="C13" s="99" t="inlineStr">
        <is>
          <t>—</t>
        </is>
      </c>
    </row>
    <row r="15" ht="64.5" customHeight="1" s="64">
      <c r="A15" s="97" t="inlineStr">
        <is>
          <t>金額は作業範囲を確認するための目安。撮影は移動・編集等も含めて総額を事前に合意。第三者素材・SaaSの費用と利用条件を別途明示。</t>
        </is>
      </c>
      <c r="B15" s="98" t="n"/>
      <c r="C15" s="98" t="n"/>
    </row>
  </sheetData>
  <mergeCells count="3">
    <mergeCell ref="A15:C15"/>
    <mergeCell ref="A3:C3"/>
    <mergeCell ref="A2:C2"/>
  </mergeCell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legacyDrawing xmlns:r="http://schemas.openxmlformats.org/officeDocument/2006/relationships" r:id="anysvml"/>
</worksheet>
</file>

<file path=xl/worksheets/sheet7.xml><?xml version="1.0" encoding="utf-8"?>
<worksheet xmlns="http://schemas.openxmlformats.org/spreadsheetml/2006/main">
  <sheetPr filterMode="0">
    <outlinePr summaryBelow="1" summaryRight="1"/>
    <pageSetUpPr fitToPage="1"/>
  </sheetPr>
  <dimension ref="A2:C23"/>
  <sheetViews>
    <sheetView showFormulas="0" showGridLines="0" showRowColHeaders="1" showZeros="1" rightToLeft="0" tabSelected="0"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baseColWidth="8" defaultColWidth="9.4453125" defaultRowHeight="15" customHeight="0" zeroHeight="0" outlineLevelRow="0"/>
  <cols>
    <col width="21.78" customWidth="1" style="63" min="1" max="1"/>
    <col width="58.78" customWidth="1" style="63" min="2" max="2"/>
    <col width="70.73" customWidth="1" style="63" min="3" max="3"/>
  </cols>
  <sheetData>
    <row r="2" ht="31.5" customHeight="1" s="64">
      <c r="A2" s="96" t="inlineStr">
        <is>
          <t>変更と継続支援</t>
        </is>
      </c>
    </row>
    <row r="3" ht="48" customHeight="1" s="64">
      <c r="A3" s="97" t="inlineStr">
        <is>
          <t>月次枠内で依頼を整理。自動追加請求・未使用分の繰越なし。</t>
        </is>
      </c>
      <c r="B3" s="98" t="n"/>
      <c r="C3" s="98" t="n"/>
    </row>
    <row r="5" ht="15" customHeight="1" s="64">
      <c r="A5" s="67" t="inlineStr">
        <is>
          <t>扱い</t>
        </is>
      </c>
      <c r="B5" s="67" t="inlineStr">
        <is>
          <t>対象</t>
        </is>
      </c>
      <c r="C5" s="67" t="inlineStr">
        <is>
          <t>条件</t>
        </is>
      </c>
    </row>
    <row r="6" ht="63.75" customHeight="1" s="64">
      <c r="A6" s="99" t="inlineStr">
        <is>
          <t>枠内の例</t>
        </is>
      </c>
      <c r="B6" s="99" t="inlineStr">
        <is>
          <t>文章の修正・差し替え</t>
        </is>
      </c>
      <c r="C6" s="99" t="inlineStr">
        <is>
          <t>内容と想定時間を先に確認</t>
        </is>
      </c>
    </row>
    <row r="7" ht="63.75" customHeight="1" s="64">
      <c r="A7" s="99" t="inlineStr">
        <is>
          <t>枠内の例</t>
        </is>
      </c>
      <c r="B7" s="99" t="inlineStr">
        <is>
          <t>写真の差し替え</t>
        </is>
      </c>
      <c r="C7" s="99" t="inlineStr">
        <is>
          <t>内容と想定時間を先に確認</t>
        </is>
      </c>
    </row>
    <row r="8" ht="63.75" customHeight="1" s="64">
      <c r="A8" s="99" t="inlineStr">
        <is>
          <t>枠内の例</t>
        </is>
      </c>
      <c r="B8" s="99" t="inlineStr">
        <is>
          <t>メニュー・料金の変更</t>
        </is>
      </c>
      <c r="C8" s="99" t="inlineStr">
        <is>
          <t>内容と想定時間を先に確認</t>
        </is>
      </c>
    </row>
    <row r="9" ht="63.75" customHeight="1" s="64">
      <c r="A9" s="99" t="inlineStr">
        <is>
          <t>枠内の例</t>
        </is>
      </c>
      <c r="B9" s="99" t="inlineStr">
        <is>
          <t>営業時間・定休日の変更</t>
        </is>
      </c>
      <c r="C9" s="99" t="inlineStr">
        <is>
          <t>内容と想定時間を先に確認</t>
        </is>
      </c>
    </row>
    <row r="10" ht="63.75" customHeight="1" s="64">
      <c r="A10" s="99" t="inlineStr">
        <is>
          <t>枠内の例</t>
        </is>
      </c>
      <c r="B10" s="99" t="inlineStr">
        <is>
          <t>既存テンプレートへのお知らせ投稿</t>
        </is>
      </c>
      <c r="C10" s="99" t="inlineStr">
        <is>
          <t>内容と想定時間を先に確認</t>
        </is>
      </c>
    </row>
    <row r="11" ht="63.75" customHeight="1" s="64">
      <c r="A11" s="99" t="inlineStr">
        <is>
          <t>枠内の例</t>
        </is>
      </c>
      <c r="B11" s="99" t="inlineStr">
        <is>
          <t>既存ページのスタッフ情報変更</t>
        </is>
      </c>
      <c r="C11" s="99" t="inlineStr">
        <is>
          <t>内容と想定時間を先に確認</t>
        </is>
      </c>
    </row>
    <row r="12" ht="63.75" customHeight="1" s="64">
      <c r="A12" s="99" t="inlineStr">
        <is>
          <t>枠内の例</t>
        </is>
      </c>
      <c r="B12" s="99" t="inlineStr">
        <is>
          <t>提供済みテンプレートへの事例追加</t>
        </is>
      </c>
      <c r="C12" s="99" t="inlineStr">
        <is>
          <t>内容と想定時間を先に確認</t>
        </is>
      </c>
    </row>
    <row r="13" ht="63.75" customHeight="1" s="64">
      <c r="A13" s="99" t="inlineStr">
        <is>
          <t>枠内の例</t>
        </is>
      </c>
      <c r="B13" s="99" t="inlineStr">
        <is>
          <t>リンクの修正</t>
        </is>
      </c>
      <c r="C13" s="99" t="inlineStr">
        <is>
          <t>内容と想定時間を先に確認</t>
        </is>
      </c>
    </row>
    <row r="14" ht="63.75" customHeight="1" s="64">
      <c r="A14" s="99" t="inlineStr">
        <is>
          <t>枠内の例</t>
        </is>
      </c>
      <c r="B14" s="99" t="inlineStr">
        <is>
          <t>既存ページの中での並べ替え</t>
        </is>
      </c>
      <c r="C14" s="99" t="inlineStr">
        <is>
          <t>内容と想定時間を先に確認</t>
        </is>
      </c>
    </row>
    <row r="16" ht="63.75" customHeight="1" s="64">
      <c r="A16" s="99" t="inlineStr">
        <is>
          <t>別見積もり</t>
        </is>
      </c>
      <c r="B16" s="99" t="inlineStr">
        <is>
          <t>新しいページの追加</t>
        </is>
      </c>
      <c r="C16" s="99" t="inlineStr">
        <is>
          <t>既存の構成にないページ / 33,000円／ページ</t>
        </is>
      </c>
    </row>
    <row r="17" ht="63.75" customHeight="1" s="64">
      <c r="A17" s="99" t="inlineStr">
        <is>
          <t>別見積もり</t>
        </is>
      </c>
      <c r="B17" s="99" t="inlineStr">
        <is>
          <t>デザインの全面変更</t>
        </is>
      </c>
      <c r="C17" s="99" t="inlineStr">
        <is>
          <t>配色・レイアウトを一から作り直す場合 / 都度お見積り</t>
        </is>
      </c>
    </row>
    <row r="18" ht="63.75" customHeight="1" s="64">
      <c r="A18" s="99" t="inlineStr">
        <is>
          <t>別見積もり</t>
        </is>
      </c>
      <c r="B18" s="99" t="inlineStr">
        <is>
          <t>他社サイトからの移管</t>
        </is>
      </c>
      <c r="C18" s="99" t="inlineStr">
        <is>
          <t>既存サイトの引っ越し / 都度お見積り</t>
        </is>
      </c>
    </row>
    <row r="19" ht="63.75" customHeight="1" s="64">
      <c r="A19" s="99" t="inlineStr">
        <is>
          <t>別見積もり</t>
        </is>
      </c>
      <c r="B19" s="99" t="inlineStr">
        <is>
          <t>新しい機能の追加</t>
        </is>
      </c>
      <c r="C19" s="99" t="inlineStr">
        <is>
          <t>予約システム・ネットショップ・会員機能など / 都度お見積り</t>
        </is>
      </c>
    </row>
    <row r="20" ht="63.75" customHeight="1" s="64">
      <c r="A20" s="99" t="inlineStr">
        <is>
          <t>別見積もり</t>
        </is>
      </c>
      <c r="B20" s="99" t="inlineStr">
        <is>
          <t>ロゴの新規制作</t>
        </is>
      </c>
      <c r="C20" s="102" t="inlineStr">
        <is>
          <t>— / 88,000円</t>
        </is>
      </c>
    </row>
    <row r="21" ht="63.75" customHeight="1" s="64">
      <c r="A21" s="99" t="inlineStr">
        <is>
          <t>別見積もり</t>
        </is>
      </c>
      <c r="B21" s="99" t="inlineStr">
        <is>
          <t>撮影の追加</t>
        </is>
      </c>
      <c r="C21" s="99" t="inlineStr">
        <is>
          <t>半日／1日 / 個別見積もり（移動・編集を含む）</t>
        </is>
      </c>
    </row>
    <row r="23" ht="64.5" customHeight="1" s="64">
      <c r="A23" s="97" t="inlineStr">
        <is>
          <t>月合計を5分単位で切上げ。依頼ごとに切り上げません。超過前に次月対応か追加見積もりを選択。紬の仕様不適合の修補は月次枠から引きません。</t>
        </is>
      </c>
      <c r="B23" s="98" t="n"/>
      <c r="C23" s="98" t="n"/>
    </row>
  </sheetData>
  <mergeCells count="3">
    <mergeCell ref="A23:C23"/>
    <mergeCell ref="A3:C3"/>
    <mergeCell ref="A2:C2"/>
  </mergeCell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1"/>
  </sheetPr>
  <dimension ref="A2:G14"/>
  <sheetViews>
    <sheetView showFormulas="0" showGridLines="0" showRowColHeaders="1" showZeros="1" rightToLeft="0" tabSelected="0"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baseColWidth="8" defaultColWidth="9.4453125" defaultRowHeight="15" customHeight="0" zeroHeight="0" outlineLevelRow="0"/>
  <cols>
    <col width="28.3" customWidth="1" style="63" min="1" max="1"/>
    <col width="18.5" customWidth="1" style="63" min="2" max="3"/>
    <col width="21.78" customWidth="1" style="63" min="4" max="4"/>
    <col width="20.68" customWidth="1" style="63" min="5" max="6"/>
    <col width="23.94" customWidth="1" style="63" min="7" max="7"/>
  </cols>
  <sheetData>
    <row r="2" ht="31.5" customHeight="1" s="64">
      <c r="A2" s="103" t="inlineStr">
        <is>
          <t>36か月の総額（外部費概算を含む）</t>
        </is>
      </c>
    </row>
    <row r="3" ht="48" customHeight="1" s="64">
      <c r="A3" s="97" t="inlineStr">
        <is>
          <t>紬は保守契約なし・制作のみ。外部実費は別途。比較先は月5回の更新を含み、紬は自分で管理します。</t>
        </is>
      </c>
      <c r="B3" s="98" t="n"/>
      <c r="C3" s="98" t="n"/>
      <c r="D3" s="98" t="n"/>
      <c r="E3" s="98" t="n"/>
      <c r="F3" s="98" t="n"/>
      <c r="G3" s="98" t="n"/>
    </row>
    <row r="5" ht="15" customHeight="1" s="64">
      <c r="A5" s="67" t="inlineStr">
        <is>
          <t>商品</t>
        </is>
      </c>
      <c r="B5" s="67" t="inlineStr">
        <is>
          <t>制作費</t>
        </is>
      </c>
      <c r="C5" s="67" t="inlineStr">
        <is>
          <t>任意の月次支援</t>
        </is>
      </c>
      <c r="D5" s="67" t="inlineStr">
        <is>
          <t>月次外部費概算</t>
        </is>
      </c>
      <c r="E5" s="67" t="inlineStr">
        <is>
          <t>紬の総額</t>
        </is>
      </c>
      <c r="F5" s="67" t="inlineStr">
        <is>
          <t>参考先の総額</t>
        </is>
      </c>
      <c r="G5" s="67" t="inlineStr">
        <is>
          <t>差（紬−参考先）</t>
        </is>
      </c>
    </row>
    <row r="6" ht="63.75" customHeight="1" s="64">
      <c r="A6" s="99" t="inlineStr">
        <is>
          <t>入口をつくる</t>
        </is>
      </c>
      <c r="B6" s="101" t="n">
        <f>料金レバー!$C$7</f>
        <v>79800</v>
      </c>
      <c r="C6" s="101" t="n">
        <f>料金レバー!$C$23</f>
        <v>0</v>
      </c>
      <c r="D6" s="101" t="n">
        <f>料金レバー!$C$16</f>
        <v>3500</v>
      </c>
      <c r="E6" s="101" t="n">
        <f>B6+(C6+D6)*料金レバー!$C$25</f>
        <v>205800</v>
      </c>
      <c r="F6" s="101" t="n">
        <f>料金レバー!$C$29+料金レバー!$C$26*料金レバー!$C$25</f>
        <v>357800</v>
      </c>
      <c r="G6" s="101" t="n">
        <f>E6-F6</f>
        <v>-152000</v>
      </c>
    </row>
    <row r="7" ht="63.75" customHeight="1" s="64">
      <c r="A7" s="99" t="inlineStr">
        <is>
          <t>事業の土台をつくる</t>
        </is>
      </c>
      <c r="B7" s="101" t="n">
        <f>料金レバー!$C$8</f>
        <v>198000</v>
      </c>
      <c r="C7" s="101" t="n">
        <f>料金レバー!$C$23</f>
        <v>0</v>
      </c>
      <c r="D7" s="101" t="n">
        <f>料金レバー!$C$16</f>
        <v>3500</v>
      </c>
      <c r="E7" s="101" t="n">
        <f>B7+(C7+D7)*料金レバー!$C$25</f>
        <v>324000</v>
      </c>
      <c r="F7" s="101" t="n">
        <f>料金レバー!$C$29+料金レバー!$C$27*料金レバー!$C$25</f>
        <v>537800</v>
      </c>
      <c r="G7" s="101" t="n">
        <f>E7-F7</f>
        <v>-213800</v>
      </c>
    </row>
    <row r="8" ht="63.75" customHeight="1" s="64">
      <c r="A8" s="99" t="inlineStr">
        <is>
          <t>情報を育てる</t>
        </is>
      </c>
      <c r="B8" s="101" t="n">
        <f>料金レバー!$C$9</f>
        <v>398000</v>
      </c>
      <c r="C8" s="101" t="n">
        <f>料金レバー!$C$23</f>
        <v>0</v>
      </c>
      <c r="D8" s="101" t="n">
        <f>料金レバー!$C$16</f>
        <v>3500</v>
      </c>
      <c r="E8" s="101" t="n">
        <f>B8+(C8+D8)*料金レバー!$C$25</f>
        <v>524000</v>
      </c>
      <c r="F8" s="101" t="n">
        <f>料金レバー!$C$29+料金レバー!$C$28*料金レバー!$C$25</f>
        <v>717800</v>
      </c>
      <c r="G8" s="101" t="n">
        <f>E8-F8</f>
        <v>-193800</v>
      </c>
    </row>
    <row r="10" ht="63.75" customHeight="1" s="64">
      <c r="A10" s="99" t="inlineStr">
        <is>
          <t>土台＋整える</t>
        </is>
      </c>
      <c r="B10" s="101" t="n">
        <f>料金レバー!$C$8</f>
        <v>198000</v>
      </c>
      <c r="C10" s="101" t="n">
        <f>料金レバー!$C$21</f>
        <v>9800</v>
      </c>
      <c r="D10" s="101" t="n">
        <f>料金レバー!$C$16</f>
        <v>3500</v>
      </c>
      <c r="E10" s="101" t="n">
        <f>B10+(C10+D10)*料金レバー!$C$25</f>
        <v>676800</v>
      </c>
      <c r="F10" s="101" t="n">
        <f>料金レバー!$C$29+料金レバー!$C$27*料金レバー!$C$25</f>
        <v>537800</v>
      </c>
      <c r="G10" s="101" t="n">
        <f>E10-F10</f>
        <v>139000</v>
      </c>
    </row>
    <row r="12" ht="64.5" customHeight="1" s="64">
      <c r="A12" s="97" t="inlineStr">
        <is>
          <t>すべて税別。紬の制作は79,800円から、保守契約なしなら紬への月額0円。外部費は概算。育てるは受付準備中。比較先は最低6か月、36か月後の継続・譲渡条件を確認。</t>
        </is>
      </c>
      <c r="B12" s="98" t="n"/>
      <c r="C12" s="98" t="n"/>
      <c r="D12" s="98" t="n"/>
      <c r="E12" s="98" t="n"/>
      <c r="F12" s="98" t="n"/>
      <c r="G12" s="98" t="n"/>
    </row>
    <row r="14" ht="64.5" customHeight="1" s="64">
      <c r="A14" s="97" t="inlineStr">
        <is>
          <t>出典: https://www.propagateinc.com/web-design（2026-09-14）。制作・更新量・所有条件・外部費の違いを契約前に比較します。</t>
        </is>
      </c>
      <c r="B14" s="98" t="n"/>
      <c r="C14" s="98" t="n"/>
      <c r="D14" s="98" t="n"/>
      <c r="E14" s="98" t="n"/>
      <c r="F14" s="98" t="n"/>
      <c r="G14" s="98" t="n"/>
    </row>
  </sheetData>
  <mergeCells count="4">
    <mergeCell ref="A3:G3"/>
    <mergeCell ref="A2:G2"/>
    <mergeCell ref="A12:G12"/>
    <mergeCell ref="A14:G14"/>
  </mergeCell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9.xml><?xml version="1.0" encoding="utf-8"?>
<worksheet xmlns="http://schemas.openxmlformats.org/spreadsheetml/2006/main">
  <sheetPr filterMode="0">
    <tabColor rgb="FF1F3049"/>
    <outlinePr summaryBelow="1" summaryRight="1"/>
    <pageSetUpPr fitToPage="0"/>
  </sheetPr>
  <dimension ref="A2:E38"/>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9.4453125" defaultRowHeight="15" customHeight="0" zeroHeight="0" outlineLevelRow="0"/>
  <cols>
    <col width="23.94" customWidth="1" style="63" min="1" max="1"/>
    <col width="43.53" customWidth="1" style="63" min="2" max="2"/>
    <col width="17.41" customWidth="1" style="63" min="3" max="4"/>
    <col width="37" customWidth="1" style="63" min="5" max="5"/>
  </cols>
  <sheetData>
    <row r="2" ht="24" customHeight="1" s="64">
      <c r="A2" s="65" t="inlineStr">
        <is>
          <t>小規模事業者持続化補助金（一般型・通常枠）（第20回）</t>
        </is>
      </c>
    </row>
    <row r="3" ht="15" customHeight="1" s="64">
      <c r="A3" s="81" t="inlineStr">
        <is>
          <t>補助率3分の2、上限500,000円。ホームページに使える分は補助金額で300,000円まで。</t>
        </is>
      </c>
    </row>
    <row r="5" ht="30" customHeight="1" s="64">
      <c r="A5" s="67" t="inlineStr">
        <is>
          <t>科目</t>
        </is>
      </c>
      <c r="B5" s="67" t="inlineStr">
        <is>
          <t>内容</t>
        </is>
      </c>
      <c r="C5" s="67" t="inlineStr">
        <is>
          <t>金額</t>
        </is>
      </c>
      <c r="D5" s="67" t="n"/>
      <c r="E5" s="67" t="inlineStr">
        <is>
          <t>備考</t>
        </is>
      </c>
    </row>
    <row r="6" ht="21.75" customHeight="1" s="64">
      <c r="A6" s="69" t="inlineStr">
        <is>
          <t>ウェブサイト関連費</t>
        </is>
      </c>
      <c r="B6" s="70" t="inlineStr">
        <is>
          <t>事業の土台をつくる 最大6ページ（原稿整理・写真持込）</t>
        </is>
      </c>
      <c r="C6" s="104" t="n">
        <f>料金レバー!$C$8</f>
        <v>198000</v>
      </c>
      <c r="D6" s="105" t="n"/>
      <c r="E6" s="106" t="n"/>
    </row>
    <row r="7" ht="21.75" customHeight="1" s="64">
      <c r="A7" s="69" t="inlineStr">
        <is>
          <t>広報費</t>
        </is>
      </c>
      <c r="B7" s="70" t="inlineStr">
        <is>
          <t>ショップカード・チラシ制作＋印刷1,000部</t>
        </is>
      </c>
      <c r="C7" s="104" t="n">
        <v>150000</v>
      </c>
      <c r="D7" s="105" t="n"/>
      <c r="E7" s="106" t="n"/>
    </row>
    <row r="8" ht="21.75" customHeight="1" s="64">
      <c r="A8" s="69" t="inlineStr">
        <is>
          <t>広報費</t>
        </is>
      </c>
      <c r="B8" s="70" t="inlineStr">
        <is>
          <t>店頭看板／のぼり デザイン＋制作</t>
        </is>
      </c>
      <c r="C8" s="104" t="n">
        <v>100000</v>
      </c>
      <c r="D8" s="105" t="n"/>
      <c r="E8" s="106" t="n"/>
    </row>
    <row r="9" ht="21.75" customHeight="1" s="64">
      <c r="A9" s="69" t="inlineStr">
        <is>
          <t>広報費</t>
        </is>
      </c>
      <c r="B9" s="70" t="inlineStr">
        <is>
          <t>追加撮影（商品・スタッフ）1日</t>
        </is>
      </c>
      <c r="C9" s="104" t="n">
        <v>88000</v>
      </c>
      <c r="D9" s="105" t="n"/>
      <c r="E9" s="106" t="n"/>
    </row>
    <row r="10" ht="21.75" customHeight="1" s="64">
      <c r="A10" s="69" t="inlineStr">
        <is>
          <t>広報費</t>
        </is>
      </c>
      <c r="B10" s="70" t="inlineStr">
        <is>
          <t>メニュー表・料金表のデザイン＋印刷</t>
        </is>
      </c>
      <c r="C10" s="104" t="n">
        <v>64000</v>
      </c>
      <c r="D10" s="105" t="n"/>
      <c r="E10" s="106" t="n"/>
    </row>
    <row r="11" ht="15" customHeight="1" s="64">
      <c r="A11" s="89" t="n"/>
      <c r="B11" s="82" t="inlineStr">
        <is>
          <t>合計</t>
        </is>
      </c>
      <c r="C11" s="107" t="n">
        <f>SUM(C6:C10)</f>
        <v>600000</v>
      </c>
      <c r="D11" s="89" t="n"/>
      <c r="E11" s="89" t="n"/>
    </row>
    <row r="13" ht="24" customHeight="1" s="64">
      <c r="A13" s="65" t="inlineStr">
        <is>
          <t>補助額と自己負担の計算</t>
        </is>
      </c>
    </row>
    <row r="14" ht="15" customHeight="1" s="64">
      <c r="A14" s="81" t="inlineStr">
        <is>
          <t>端数は切り捨て。ウェブ関連費には補助金額の上限がある。</t>
        </is>
      </c>
    </row>
    <row r="16" ht="30" customHeight="1" s="64">
      <c r="A16" s="67" t="n"/>
      <c r="B16" s="67" t="inlineStr">
        <is>
          <t>計算</t>
        </is>
      </c>
      <c r="C16" s="67" t="inlineStr">
        <is>
          <t>金額</t>
        </is>
      </c>
      <c r="D16" s="67" t="n"/>
      <c r="E16" s="67" t="inlineStr">
        <is>
          <t>意味</t>
        </is>
      </c>
    </row>
    <row r="17" ht="24" customHeight="1" s="64">
      <c r="A17" s="105" t="n"/>
      <c r="B17" s="105" t="inlineStr">
        <is>
          <t>ウェブサイト関連費</t>
        </is>
      </c>
      <c r="C17" s="108" t="n">
        <f>SUMIF($A$6:$A$10,"ウェブサイト関連費",$C$6:$C$10)</f>
        <v>198000</v>
      </c>
      <c r="D17" s="105" t="n"/>
      <c r="E17" s="84" t="inlineStr">
        <is>
          <t>経費額。ここから補助率をかける</t>
        </is>
      </c>
    </row>
    <row r="18" ht="24" customHeight="1" s="64">
      <c r="A18" s="105" t="n"/>
      <c r="B18" s="105" t="inlineStr">
        <is>
          <t>広報費</t>
        </is>
      </c>
      <c r="C18" s="108" t="n">
        <f>SUMIF($A$6:$A$10,"広報費",$C$6:$C$10)</f>
        <v>402000</v>
      </c>
      <c r="D18" s="105" t="n"/>
      <c r="E18" s="84" t="inlineStr">
        <is>
          <t>チラシ・看板・撮影・メニュー表</t>
        </is>
      </c>
    </row>
    <row r="19" ht="24" customHeight="1" s="64">
      <c r="A19" s="105" t="n"/>
      <c r="B19" s="105" t="inlineStr">
        <is>
          <t>ウェブの補助額</t>
        </is>
      </c>
      <c r="C19" s="108" t="n">
        <f>MIN(FLOOR(C17*料金レバー!$C$31,1),料金レバー!$C$33)</f>
        <v>132000</v>
      </c>
      <c r="D19" s="105" t="n"/>
      <c r="E19" s="84" t="inlineStr">
        <is>
          <t>補助率をかけたあと、300,000円で頭打ち</t>
        </is>
      </c>
    </row>
    <row r="20" ht="24" customHeight="1" s="64">
      <c r="A20" s="105" t="n"/>
      <c r="B20" s="105" t="inlineStr">
        <is>
          <t>広報費の補助額</t>
        </is>
      </c>
      <c r="C20" s="108" t="n">
        <f>MIN(FLOOR(C18*料金レバー!$C$31,1),料金レバー!$C$32-C19)</f>
        <v>268000</v>
      </c>
      <c r="D20" s="105" t="n"/>
      <c r="E20" s="84" t="inlineStr">
        <is>
          <t>全体の上限から、ウェブの補助額を引いた残りが天井</t>
        </is>
      </c>
    </row>
    <row r="21" ht="24" customHeight="1" s="64">
      <c r="A21" s="89" t="n"/>
      <c r="B21" s="82" t="inlineStr">
        <is>
          <t>補助額の合計</t>
        </is>
      </c>
      <c r="C21" s="109" t="n">
        <f>MIN(C19+C20,料金レバー!$C$32)</f>
        <v>400000</v>
      </c>
      <c r="D21" s="89" t="n"/>
      <c r="E21" s="110" t="inlineStr">
        <is>
          <t>全体の上限500,000円</t>
        </is>
      </c>
    </row>
    <row r="22" ht="24" customHeight="1" s="64">
      <c r="A22" s="89" t="n"/>
      <c r="B22" s="82" t="inlineStr">
        <is>
          <t>自己負担（実質）</t>
        </is>
      </c>
      <c r="C22" s="111" t="n">
        <f>$C$11-C21</f>
        <v>200000</v>
      </c>
      <c r="D22" s="89" t="n"/>
      <c r="E22" s="110" t="inlineStr">
        <is>
          <t>ここがお客様のご負担。ただし全額を立て替えたあとに入金される</t>
        </is>
      </c>
    </row>
    <row r="24" ht="24" customHeight="1" s="64">
      <c r="A24" s="65" t="inlineStr">
        <is>
          <t>先に伝えておくこと</t>
        </is>
      </c>
    </row>
    <row r="25" ht="15" customHeight="1" s="64">
      <c r="A25" s="81" t="inlineStr">
        <is>
          <t>ここを黙っていると、あとで必ず揉める。</t>
        </is>
      </c>
    </row>
    <row r="27" ht="30" customHeight="1" s="64">
      <c r="A27" s="67" t="inlineStr">
        <is>
          <t>項目</t>
        </is>
      </c>
      <c r="B27" s="67" t="inlineStr">
        <is>
          <t>内容</t>
        </is>
      </c>
      <c r="C27" s="67" t="n"/>
      <c r="D27" s="67" t="n"/>
      <c r="E27" s="67" t="n"/>
    </row>
    <row r="28" ht="33.75" customHeight="1" s="64">
      <c r="A28" s="82" t="inlineStr">
        <is>
          <t>採択率</t>
        </is>
      </c>
      <c r="B28" s="72" t="inlineStr">
        <is>
          <t>47.2%（第19回は16,576件の申請に対し7,819件が採択）。「必ず通ります」「実質無料です」とは言わない。通らなかった場合の扱いは契約前に書面で決める（ベーシックに縮小するか、白紙に戻すか）</t>
        </is>
      </c>
      <c r="C28" s="98" t="n"/>
      <c r="D28" s="98" t="n"/>
      <c r="E28" s="112" t="n"/>
    </row>
    <row r="29" ht="33.75" customHeight="1" s="64">
      <c r="A29" s="82" t="inlineStr">
        <is>
          <t>入金の時期</t>
        </is>
      </c>
      <c r="B29" s="70" t="inlineStr">
        <is>
          <t>精算払い。お客様がいったん全額を立て替えて、実績報告のあとに入金される</t>
        </is>
      </c>
      <c r="C29" s="98" t="n"/>
      <c r="D29" s="98" t="n"/>
      <c r="E29" s="112" t="n"/>
    </row>
    <row r="30" ht="33.75" customHeight="1" s="64">
      <c r="A30" s="82" t="inlineStr">
        <is>
          <t>申請の代行</t>
        </is>
      </c>
      <c r="B30" s="70" t="inlineStr">
        <is>
          <t>できない。2026年1月の行政書士法改正で、名目を問わず報酬を得て申請書類を作成することが明確に違反になった。制作費に申請代行を含めることもできない。計画づくりは商工会・商工会議所へ（無料。様式4の発行窓口でもある）</t>
        </is>
      </c>
      <c r="C30" s="98" t="n"/>
      <c r="D30" s="98" t="n"/>
      <c r="E30" s="112" t="n"/>
    </row>
    <row r="31" ht="33.75" customHeight="1" s="64">
      <c r="A31" s="82" t="inlineStr">
        <is>
          <t>当方が出すもの</t>
        </is>
      </c>
      <c r="B31" s="70" t="inlineStr">
        <is>
          <t>見積書と、効果の根拠になる資料。それをお客様が自分の言葉で申請書に書く</t>
        </is>
      </c>
      <c r="C31" s="98" t="n"/>
      <c r="D31" s="98" t="n"/>
      <c r="E31" s="112" t="n"/>
    </row>
    <row r="32" ht="33.75" customHeight="1" s="64">
      <c r="A32" s="82" t="inlineStr">
        <is>
          <t>着手の時期</t>
        </is>
      </c>
      <c r="B32" s="70" t="inlineStr">
        <is>
          <t>交付決定の前に着手しない。契約書の日付も決定日より後にする。ここがいちばん大事</t>
        </is>
      </c>
      <c r="C32" s="98" t="n"/>
      <c r="D32" s="98" t="n"/>
      <c r="E32" s="112" t="n"/>
    </row>
    <row r="33" ht="33.75" customHeight="1" s="64">
      <c r="A33" s="82" t="inlineStr">
        <is>
          <t>相見積り</t>
        </is>
      </c>
      <c r="B33" s="72" t="inlineStr">
        <is>
          <t>1件50万円（税込）を超える発注には2者以上の見積りが必要。最初に伝える</t>
        </is>
      </c>
      <c r="C33" s="98" t="n"/>
      <c r="D33" s="98" t="n"/>
      <c r="E33" s="112" t="n"/>
    </row>
    <row r="34" ht="33.75" customHeight="1" s="64">
      <c r="A34" s="82" t="inlineStr">
        <is>
          <t>申請の締切</t>
        </is>
      </c>
      <c r="B34" s="72" t="inlineStr">
        <is>
          <t>2026年12月15日（火）17:00</t>
        </is>
      </c>
      <c r="C34" s="98" t="n"/>
      <c r="D34" s="98" t="n"/>
      <c r="E34" s="112" t="n"/>
    </row>
    <row r="35" ht="33.75" customHeight="1" s="64">
      <c r="A35" s="82" t="inlineStr">
        <is>
          <t>様式4（商工会）</t>
        </is>
      </c>
      <c r="B35" s="72" t="inlineStr">
        <is>
          <t>2026年12月4日（金）まで。年末は混むので11月上旬までが安全</t>
        </is>
      </c>
      <c r="C35" s="98" t="n"/>
      <c r="D35" s="98" t="n"/>
      <c r="E35" s="112" t="n"/>
    </row>
    <row r="36" ht="33.75" customHeight="1" s="64">
      <c r="A36" s="82" t="inlineStr">
        <is>
          <t>なぜ単独で申請できないか</t>
        </is>
      </c>
      <c r="B36" s="70" t="inlineStr">
        <is>
          <t>この補助金はホームページ関連費だけでは申請できない。必ず他の経費と一緒に出す。だから同じ写真・同じ文章でチラシ・看板・メニュー表までまとめて作る（撮影も原稿も一度で済むので、別々に頼むより安い）</t>
        </is>
      </c>
      <c r="C36" s="98" t="n"/>
      <c r="D36" s="98" t="n"/>
      <c r="E36" s="112" t="n"/>
    </row>
    <row r="38" ht="27.75" customHeight="1" s="64">
      <c r="A38" s="87" t="inlineStr">
        <is>
          <t>市町村ごとの補助金もある。ただし「ホームページ補助金」という名前ではなく、「販路開拓」「産業振興」「DX推進」の枠のなかの1メニューになっていることが多い。予算に達すると早期終了する（ある県では9月30日締切の制度が8月28日に終了した）。毎週チェックする。</t>
        </is>
      </c>
    </row>
  </sheetData>
  <mergeCells count="9">
    <mergeCell ref="B31:E31"/>
    <mergeCell ref="B35:E35"/>
    <mergeCell ref="B30:E30"/>
    <mergeCell ref="B29:E29"/>
    <mergeCell ref="B33:E33"/>
    <mergeCell ref="B34:E34"/>
    <mergeCell ref="B28:E28"/>
    <mergeCell ref="B36:E36"/>
    <mergeCell ref="B32:E3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10.xml><?xml version="1.0" encoding="utf-8"?>
<worksheet xmlns="http://schemas.openxmlformats.org/spreadsheetml/2006/main">
  <sheetPr filterMode="0">
    <outlinePr summaryBelow="1" summaryRight="1"/>
    <pageSetUpPr fitToPage="1"/>
  </sheetPr>
  <dimension ref="A2:E14"/>
  <sheetViews>
    <sheetView showFormulas="0" showGridLines="0" showRowColHeaders="1" showZeros="1" rightToLeft="0" tabSelected="0"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baseColWidth="8" defaultColWidth="9.4453125" defaultRowHeight="15" customHeight="0" zeroHeight="0" outlineLevelRow="0"/>
  <cols>
    <col width="27.21" customWidth="1" style="63" min="1" max="1"/>
    <col width="21.78" customWidth="1" style="63" min="2" max="2"/>
    <col width="27.21" customWidth="1" style="63" min="3" max="3"/>
    <col width="21.78" customWidth="1" style="63" min="4" max="4"/>
    <col width="70.73" customWidth="1" style="63" min="5" max="5"/>
  </cols>
  <sheetData>
    <row r="2" ht="31.5" customHeight="1" s="64">
      <c r="A2" s="96" t="inlineStr">
        <is>
          <t>掲載費と支援費の差額（税込）</t>
        </is>
      </c>
    </row>
    <row r="3" ht="48" customHeight="1" s="64">
      <c r="A3" s="97" t="inlineStr">
        <is>
          <t>掲載費変更による集客への影響は別。制作費と予約等の追加費も加えて判断します。</t>
        </is>
      </c>
      <c r="B3" s="98" t="n"/>
      <c r="C3" s="98" t="n"/>
      <c r="D3" s="98" t="n"/>
      <c r="E3" s="98" t="n"/>
    </row>
    <row r="5" ht="15" customHeight="1" s="64">
      <c r="A5" s="67" t="inlineStr">
        <is>
          <t>プラン</t>
        </is>
      </c>
      <c r="B5" s="67" t="inlineStr">
        <is>
          <t>掲載料/月</t>
        </is>
      </c>
      <c r="C5" s="67" t="inlineStr">
        <is>
          <t>整える＋外部費/月</t>
        </is>
      </c>
      <c r="D5" s="67" t="inlineStr">
        <is>
          <t>差額/月</t>
        </is>
      </c>
      <c r="E5" s="67" t="inlineStr">
        <is>
          <t>条件</t>
        </is>
      </c>
    </row>
    <row r="6" ht="63.75" customHeight="1" s="64">
      <c r="A6" s="99" t="inlineStr">
        <is>
          <t>プレミアム10</t>
        </is>
      </c>
      <c r="B6" s="101" t="n">
        <f>料金レバー!$C$35</f>
        <v>110000</v>
      </c>
      <c r="C6" s="101" t="n">
        <f>ROUND((料金レバー!$C$21+料金レバー!$C$16)*(1+料金レバー!$C$17),0)</f>
        <v>14630</v>
      </c>
      <c r="D6" s="101" t="n">
        <f>B6-C6</f>
        <v>95370</v>
      </c>
      <c r="E6" s="99" t="inlineStr">
        <is>
          <t>掲載を無料にできる契約の場合。送客手数料は別途</t>
        </is>
      </c>
    </row>
    <row r="7" ht="63.75" customHeight="1" s="64">
      <c r="A7" s="99" t="inlineStr">
        <is>
          <t>プレミアム5</t>
        </is>
      </c>
      <c r="B7" s="101" t="n">
        <f>料金レバー!$C$36</f>
        <v>55000</v>
      </c>
      <c r="C7" s="101" t="n">
        <f>ROUND((料金レバー!$C$21+料金レバー!$C$16)*(1+料金レバー!$C$17),0)</f>
        <v>14630</v>
      </c>
      <c r="D7" s="101" t="n">
        <f>B7-C7</f>
        <v>40370</v>
      </c>
      <c r="E7" s="99" t="inlineStr">
        <is>
          <t>掲載を無料にできる契約の場合。送客手数料は別途</t>
        </is>
      </c>
    </row>
    <row r="8" ht="63.75" customHeight="1" s="64">
      <c r="A8" s="99" t="inlineStr">
        <is>
          <t>ベーシック</t>
        </is>
      </c>
      <c r="B8" s="101" t="n">
        <f>料金レバー!$C$37</f>
        <v>27500</v>
      </c>
      <c r="C8" s="101" t="n">
        <f>ROUND((料金レバー!$C$21+料金レバー!$C$16)*(1+料金レバー!$C$17),0)</f>
        <v>14630</v>
      </c>
      <c r="D8" s="101" t="n">
        <f>B8-C8</f>
        <v>12870</v>
      </c>
      <c r="E8" s="99" t="inlineStr">
        <is>
          <t>掲載を無料にできる契約の場合。送客手数料は別途</t>
        </is>
      </c>
    </row>
    <row r="9" ht="63.75" customHeight="1" s="64">
      <c r="A9" s="99" t="inlineStr">
        <is>
          <t>ライト</t>
        </is>
      </c>
      <c r="B9" s="101" t="n">
        <f>料金レバー!$C$38</f>
        <v>11000</v>
      </c>
      <c r="C9" s="101" t="n">
        <f>ROUND((料金レバー!$C$21+料金レバー!$C$16)*(1+料金レバー!$C$17),0)</f>
        <v>14630</v>
      </c>
      <c r="D9" s="101" t="n">
        <f>B9-C9</f>
        <v>-3630</v>
      </c>
      <c r="E9" s="99" t="inlineStr">
        <is>
          <t>掲載を無料にできる契約の場合。送客手数料は別途</t>
        </is>
      </c>
    </row>
    <row r="10" ht="63.75" customHeight="1" s="64">
      <c r="A10" s="99" t="inlineStr">
        <is>
          <t>無料掲載</t>
        </is>
      </c>
      <c r="B10" s="101" t="n">
        <f>料金レバー!$C$39</f>
        <v>0</v>
      </c>
      <c r="C10" s="101" t="n">
        <f>ROUND((料金レバー!$C$21+料金レバー!$C$16)*(1+料金レバー!$C$17),0)</f>
        <v>14630</v>
      </c>
      <c r="D10" s="101" t="n">
        <f>B10-C10</f>
        <v>-14630</v>
      </c>
      <c r="E10" s="99" t="inlineStr">
        <is>
          <t>掲載を無料にできる契約の場合。送客手数料は別途</t>
        </is>
      </c>
    </row>
    <row r="12" ht="63.75" customHeight="1" s="64">
      <c r="A12" s="99" t="inlineStr">
        <is>
          <t>予約人数の単純目安</t>
        </is>
      </c>
      <c r="B12" s="101" t="n">
        <f>ROUNDUP(C6/料金レバー!$C$40,0)</f>
        <v>67</v>
      </c>
      <c r="C12" s="99" t="n"/>
      <c r="D12" s="99" t="n"/>
      <c r="E12" s="99" t="inlineStr">
        <is>
          <t>ディナー税込220円/人の仮定。制作費を除く支援費＋外部費との比較</t>
        </is>
      </c>
    </row>
    <row r="14" ht="64.5" customHeight="1" s="64">
      <c r="A14" s="97" t="inlineStr">
        <is>
          <t>食べログ公開料金を元にした参考。最新の契約・手数料を個別確認。掲載をやめる提案を先に決めず、予約減少による限界利益への影響を確かめます。</t>
        </is>
      </c>
      <c r="B14" s="98" t="n"/>
      <c r="C14" s="98" t="n"/>
      <c r="D14" s="98" t="n"/>
      <c r="E14" s="98" t="n"/>
    </row>
  </sheetData>
  <mergeCells count="3">
    <mergeCell ref="A2:E2"/>
    <mergeCell ref="A3:E3"/>
    <mergeCell ref="A14:E14"/>
  </mergeCell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11.xml><?xml version="1.0" encoding="utf-8"?>
<worksheet xmlns="http://schemas.openxmlformats.org/spreadsheetml/2006/main">
  <sheetPr filterMode="0">
    <tabColor rgb="FF1F3049"/>
    <outlinePr summaryBelow="1" summaryRight="1"/>
    <pageSetUpPr fitToPage="0"/>
  </sheetPr>
  <dimension ref="A2:D32"/>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9.4453125" defaultRowHeight="15" customHeight="0" zeroHeight="0" outlineLevelRow="0"/>
  <cols>
    <col width="6.53" customWidth="1" style="63" min="1" max="1"/>
    <col width="13.06" customWidth="1" style="63" min="2" max="2"/>
    <col width="43.53" customWidth="1" style="63" min="3" max="3"/>
    <col width="78.34999999999999" customWidth="1" style="63" min="4" max="4"/>
  </cols>
  <sheetData>
    <row r="2" ht="24" customHeight="1" s="64">
      <c r="A2" s="65" t="inlineStr">
        <is>
          <t>全業種に共通する20項目</t>
        </is>
      </c>
    </row>
    <row r="3" ht="15" customHeight="1" s="64">
      <c r="A3" s="81" t="inlineStr">
        <is>
          <t>数字が出ているものだけを入れる。20項目すべてを自動でチェックし、1つでも落ちたら納品しない。</t>
        </is>
      </c>
    </row>
    <row r="5" ht="30" customHeight="1" s="64">
      <c r="A5" s="113" t="inlineStr">
        <is>
          <t>#</t>
        </is>
      </c>
      <c r="B5" s="67" t="inlineStr">
        <is>
          <t>区分</t>
        </is>
      </c>
      <c r="C5" s="67" t="inlineStr">
        <is>
          <t>項目</t>
        </is>
      </c>
      <c r="D5" s="67" t="inlineStr">
        <is>
          <t>根拠（なぜ入れるか）</t>
        </is>
      </c>
    </row>
    <row r="6" ht="42" customHeight="1" s="64">
      <c r="A6" s="91" t="n">
        <v>1</v>
      </c>
      <c r="B6" s="114" t="inlineStr">
        <is>
          <t>情報</t>
        </is>
      </c>
      <c r="C6" s="115" t="inlineStr">
        <is>
          <t>電話番号を全ページの上部に、文字で置きます</t>
        </is>
      </c>
      <c r="D6" s="116" t="inlineStr">
        <is>
          <t>画像にした電話番号はGoogleが読めず、スマホでタップしても発信できません。連絡先を決める段階で重視される要素の1位は「営業時間・住所・電話がはっきり書かれていること」（32%）です。</t>
        </is>
      </c>
    </row>
    <row r="7" ht="42" customHeight="1" s="64">
      <c r="A7" s="91" t="n">
        <v>2</v>
      </c>
      <c r="B7" s="114" t="inlineStr">
        <is>
          <t>情報</t>
        </is>
      </c>
      <c r="C7" s="115" t="inlineStr">
        <is>
          <t>営業時間を、定休日・臨時休業・年末年始まで書きます</t>
        </is>
      </c>
      <c r="D7" s="116" t="inlineStr">
        <is>
          <t>同じく1位の要素です。文字で書くので検索にも反映されます。</t>
        </is>
      </c>
    </row>
    <row r="8" ht="42" customHeight="1" s="64">
      <c r="A8" s="91" t="n">
        <v>3</v>
      </c>
      <c r="B8" s="114" t="inlineStr">
        <is>
          <t>情報</t>
        </is>
      </c>
      <c r="C8" s="115" t="inlineStr">
        <is>
          <t>住所・地図・アクセス・駐車場の有無を書きます</t>
        </is>
      </c>
      <c r="D8" s="116" t="inlineStr">
        <is>
          <t>お店を探す段階で最も見られている要素が「住所・近さ」（44%）。Googleマップ経由の行動の38%が経路検索です。</t>
        </is>
      </c>
    </row>
    <row r="9" ht="42" customHeight="1" s="64">
      <c r="A9" s="91" t="n">
        <v>4</v>
      </c>
      <c r="B9" s="114" t="inlineStr">
        <is>
          <t>情報</t>
        </is>
      </c>
      <c r="C9" s="115" t="inlineStr">
        <is>
          <t>料金を必ず何らかの形で出します</t>
        </is>
      </c>
      <c r="D9" s="116" t="inlineStr">
        <is>
          <t>連絡しなかった理由の2位が「料金が不明確」（32%）で、星の評価（30%）より上です。「お見積り」でも、算出の考え方と目安の幅は出します。ただし安く見せることはしません。</t>
        </is>
      </c>
    </row>
    <row r="10" ht="42" customHeight="1" s="64">
      <c r="A10" s="91" t="n">
        <v>5</v>
      </c>
      <c r="B10" s="114" t="inlineStr">
        <is>
          <t>情報</t>
        </is>
      </c>
      <c r="C10" s="115" t="inlineStr">
        <is>
          <t>業種によって、電話とフォームのどちらを主役にするかを入れ替えます</t>
        </is>
      </c>
      <c r="D10" s="116" t="inlineStr">
        <is>
          <t>調査では士業は電話が56%・フォームが44%、美容室はフォームが92%・電話が8%と真逆でした。同じ作りを全業種に当てるのは合いません。</t>
        </is>
      </c>
    </row>
    <row r="11" ht="42" customHeight="1" s="64">
      <c r="A11" s="91" t="n">
        <v>6</v>
      </c>
      <c r="B11" s="114" t="inlineStr">
        <is>
          <t>情報</t>
        </is>
      </c>
      <c r="C11" s="115" t="inlineStr">
        <is>
          <t>対応エリアを書きます（工務店・士業は市町村ごとに）</t>
        </is>
      </c>
      <c r="D11" s="116" t="inlineStr">
        <is>
          <t>「近さ」はGoogleが公表しているマップの順位の3要因のひとつです。</t>
        </is>
      </c>
    </row>
    <row r="12" ht="42" customHeight="1" s="64">
      <c r="A12" s="91" t="n">
        <v>7</v>
      </c>
      <c r="B12" s="114" t="inlineStr">
        <is>
          <t>中身</t>
        </is>
      </c>
      <c r="C12" s="115" t="inlineStr">
        <is>
          <t>写真は明るく、実物を撮ります</t>
        </is>
      </c>
      <c r="D12" s="116" t="inlineStr">
        <is>
          <t>飲食店のサイトを見て来店をやめた理由の36%が「料理写真が良くない」。写真が選択に影響すると答えた人は87%です。</t>
        </is>
      </c>
    </row>
    <row r="13" ht="42" customHeight="1" s="64">
      <c r="A13" s="91" t="n">
        <v>8</v>
      </c>
      <c r="B13" s="114" t="inlineStr">
        <is>
          <t>中身</t>
        </is>
      </c>
      <c r="C13" s="115" t="inlineStr">
        <is>
          <t>スタッフ・代表の顔写真と人柄が伝わる紹介を入れます</t>
        </is>
      </c>
      <c r="D13" s="116" t="inlineStr">
        <is>
          <t>税理士を選ぶときに最も重視された項目の1位は「相談しやすさ・人柄・相性」（21%）でした。</t>
        </is>
      </c>
    </row>
    <row r="14" ht="42" customHeight="1" s="64">
      <c r="A14" s="91" t="n">
        <v>9</v>
      </c>
      <c r="B14" s="114" t="inlineStr">
        <is>
          <t>中身</t>
        </is>
      </c>
      <c r="C14" s="115" t="inlineStr">
        <is>
          <t>実績・事例は一覧と詳細の2段にします（工務店は最優先）</t>
        </is>
      </c>
      <c r="D14" s="116" t="inlineStr">
        <is>
          <t>注文住宅の購入者調査では、施工事例が「参考になった」58%・「決め手になった」57%で両方1位。一方、会社紹介は参考58%→決め手11%に落ちるので、そこには工数を割きません。</t>
        </is>
      </c>
    </row>
    <row r="15" ht="42" customHeight="1" s="64">
      <c r="A15" s="91" t="n">
        <v>10</v>
      </c>
      <c r="B15" s="114" t="inlineStr">
        <is>
          <t>中身</t>
        </is>
      </c>
      <c r="C15" s="115" t="inlineStr">
        <is>
          <t>お客様の声には、依頼した旨を明記します</t>
        </is>
      </c>
      <c r="D15" s="116" t="inlineStr">
        <is>
          <t>謝礼や依頼があるものは、事業者の表示だと分かるように書くことが景品表示法で必要です（2023年10月施行）。守らない制作会社が多いので、テンプレートに入れています。</t>
        </is>
      </c>
    </row>
    <row r="16" ht="42" customHeight="1" s="64">
      <c r="A16" s="91" t="n">
        <v>11</v>
      </c>
      <c r="B16" s="114" t="inlineStr">
        <is>
          <t>中身</t>
        </is>
      </c>
      <c r="C16" s="115" t="inlineStr">
        <is>
          <t>料金・費用・選び方の解説を3〜5本だけ書きます</t>
        </is>
      </c>
      <c r="D16" s="116" t="inlineStr">
        <is>
          <t>料金についての検索では、8割以上でAIの回答が表示されます。ここがAIに引用される入口です。ただし記事の量産はしません。ページ数と引用されやすさの相関はほぼゼロでした。</t>
        </is>
      </c>
    </row>
    <row r="17" ht="42" customHeight="1" s="64">
      <c r="A17" s="91" t="n">
        <v>12</v>
      </c>
      <c r="B17" s="114" t="inlineStr">
        <is>
          <t>技術</t>
        </is>
      </c>
      <c r="C17" s="115" t="inlineStr">
        <is>
          <t>スマホとパソコンで同じ内容にします。スマホ用に内容を削りません</t>
        </is>
      </c>
      <c r="D17" s="117" t="inlineStr">
        <is>
          <t>Googleが「モバイルのコンテンツを減らすと流入の減少を想定すべき」と明記しています。</t>
        </is>
      </c>
    </row>
    <row r="18" ht="42" customHeight="1" s="64">
      <c r="A18" s="91" t="n">
        <v>13</v>
      </c>
      <c r="B18" s="114" t="inlineStr">
        <is>
          <t>技術</t>
        </is>
      </c>
      <c r="C18" s="115" t="inlineStr">
        <is>
          <t>表示速度は2.5秒以内を納品条件にします</t>
        </is>
      </c>
      <c r="D18" s="116" t="inlineStr">
        <is>
          <t>スマホでこの基準を満たしているサイトは62%しかなく、最大のつまずきどころです。写真が主役のお店のサイトは、構造的にここで遅くなります。0.1秒の改善で問い合わせページへの遷移が21.6%増えたという実測があります。</t>
        </is>
      </c>
    </row>
    <row r="19" ht="42" customHeight="1" s="64">
      <c r="A19" s="91" t="n">
        <v>14</v>
      </c>
      <c r="B19" s="114" t="inlineStr">
        <is>
          <t>技術</t>
        </is>
      </c>
      <c r="C19" s="115" t="inlineStr">
        <is>
          <t>最初に表示される画像は、遅延読み込みにしません</t>
        </is>
      </c>
      <c r="D19" s="116" t="inlineStr">
        <is>
          <t>よくある設定ミスです。全部の画像に遅延読み込みをかけると、いちばん最初に見える画像の表示が逆に遅くなります。</t>
        </is>
      </c>
    </row>
    <row r="20" ht="42" customHeight="1" s="64">
      <c r="A20" s="91" t="n">
        <v>15</v>
      </c>
      <c r="B20" s="114" t="inlineStr">
        <is>
          <t>技術</t>
        </is>
      </c>
      <c r="C20" s="115" t="inlineStr">
        <is>
          <t>表示速度スコアの満点は狙いません</t>
        </is>
      </c>
      <c r="D20" s="117" t="inlineStr">
        <is>
          <t>Google自身が「SEOのために満点を狙うのは時間の使い方として最善ではない」と書いています。反応速度の指標はスマホでも77%が基準を満たしており、お店のサイトでは実質的に問題になりません。監視だけします。</t>
        </is>
      </c>
    </row>
    <row r="21" ht="42" customHeight="1" s="64">
      <c r="A21" s="91" t="n">
        <v>16</v>
      </c>
      <c r="B21" s="114" t="inlineStr">
        <is>
          <t>技術</t>
        </is>
      </c>
      <c r="C21" s="115" t="inlineStr">
        <is>
          <t>押せる部分は、指で押しやすい大きさにします</t>
        </is>
      </c>
      <c r="D21" s="116" t="inlineStr">
        <is>
          <t>国際的な指針の最低ラインは24ピクセル四方ですが、読み手が50〜60代の方であることを前提に44ピクセル四方を基準にしています。</t>
        </is>
      </c>
    </row>
    <row r="22" ht="42" customHeight="1" s="64">
      <c r="A22" s="91" t="n">
        <v>17</v>
      </c>
      <c r="B22" s="114" t="inlineStr">
        <is>
          <t>技術</t>
        </is>
      </c>
      <c r="C22" s="115" t="inlineStr">
        <is>
          <t>構造化データを、業種に合った種類で設定します</t>
        </is>
      </c>
      <c r="D22" s="117" t="inlineStr">
        <is>
          <t>Googleに事業所の情報を正しく伝える設定です。実装の手間が小さいので無料で入れています。ただしこれを「AI検索対策」として売ることはしません。Googleの公式ガイドが「生成AIの検索に構造化データは不要」と明記しています。</t>
        </is>
      </c>
    </row>
    <row r="23" ht="42" customHeight="1" s="64">
      <c r="A23" s="91" t="n">
        <v>18</v>
      </c>
      <c r="B23" s="114" t="inlineStr">
        <is>
          <t>運用</t>
        </is>
      </c>
      <c r="C23" s="118" t="inlineStr">
        <is>
          <t>Googleビジネスプロフィールのリンクを、正しく紐付けます</t>
        </is>
      </c>
      <c r="D23" s="117" t="inlineStr">
        <is>
          <t>GoogleはSNS・メッセージアプリ・短縮URLをリンク先に使うことを禁止しており、店舗ごとの専用ページを求めています。これが「GoogleマップやInstagramだけでは足りない」ことのはっきりした根拠です。マップ経由の行動の47%はウェブサイトへの訪問で、最も多い行動です。</t>
        </is>
      </c>
    </row>
    <row r="24" ht="42" customHeight="1" s="64">
      <c r="A24" s="91" t="n">
        <v>19</v>
      </c>
      <c r="B24" s="114" t="inlineStr">
        <is>
          <t>運用</t>
        </is>
      </c>
      <c r="C24" s="115" t="inlineStr">
        <is>
          <t>問い合わせの通知を2系統にして、返答までの時間を書きます</t>
        </is>
      </c>
      <c r="D24" s="116" t="inlineStr">
        <is>
          <t>米国2,241社を調べた研究では23%が返答せず、平均42時間かかっていました。1時間以内に接触した企業は約7倍、見込み客になりやすいという結果です。税理士を変えた理由の1位も「レスポンスの遅さ」（30%）でした。</t>
        </is>
      </c>
    </row>
    <row r="25" ht="42" customHeight="1" s="64">
      <c r="A25" s="91" t="n">
        <v>20</v>
      </c>
      <c r="B25" s="114" t="inlineStr">
        <is>
          <t>運用</t>
        </is>
      </c>
      <c r="C25" s="115" t="inlineStr">
        <is>
          <t>納品後の運用は「口コミの鮮度を保つこと」に集約します</t>
        </is>
      </c>
      <c r="D25" s="117" t="inlineStr">
        <is>
          <t>74%が直近3か月以内の口コミを重視し、47%は口コミが20件未満のお店を使わず、42%は口コミに返信していないお店を避け、50%は定型的な返信だと選ぶ確率が下がります。</t>
        </is>
      </c>
    </row>
    <row r="27" ht="24" customHeight="1" s="64">
      <c r="A27" s="65" t="inlineStr">
        <is>
          <t>区分の意味</t>
        </is>
      </c>
    </row>
    <row r="29" ht="29.25" customHeight="1" s="64">
      <c r="A29" s="105" t="n"/>
      <c r="B29" s="119" t="inlineStr">
        <is>
          <t>情報</t>
        </is>
      </c>
      <c r="C29" s="70" t="inlineStr">
        <is>
          <t>調査で「連絡されない理由」の1位と2位だった項目です。</t>
        </is>
      </c>
      <c r="D29" s="105" t="n"/>
    </row>
    <row r="30" ht="15" customHeight="1" s="64">
      <c r="A30" s="105" t="n"/>
      <c r="B30" s="119" t="inlineStr">
        <is>
          <t>中身</t>
        </is>
      </c>
      <c r="C30" s="70" t="inlineStr">
        <is>
          <t>見た人が判断材料にしている中身です。</t>
        </is>
      </c>
      <c r="D30" s="105" t="n"/>
    </row>
    <row r="31" ht="29.25" customHeight="1" s="64">
      <c r="A31" s="105" t="n"/>
      <c r="B31" s="119" t="inlineStr">
        <is>
          <t>技術</t>
        </is>
      </c>
      <c r="C31" s="70" t="inlineStr">
        <is>
          <t>数字で効果が確認できるものだけ。やらないことも決めています。</t>
        </is>
      </c>
      <c r="D31" s="105" t="n"/>
    </row>
    <row r="32" ht="15" customHeight="1" s="64">
      <c r="A32" s="105" t="n"/>
      <c r="B32" s="119" t="inlineStr">
        <is>
          <t>運用</t>
        </is>
      </c>
      <c r="C32" s="70" t="inlineStr">
        <is>
          <t>作ったあとに効く部分です。</t>
        </is>
      </c>
      <c r="D32" s="105"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tabColor rgb="FF1F3049"/>
    <outlinePr summaryBelow="1" summaryRight="1"/>
    <pageSetUpPr fitToPage="0"/>
  </sheetPr>
  <dimension ref="A2:B12"/>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9.4453125" defaultRowHeight="15" customHeight="0" zeroHeight="0" outlineLevelRow="0"/>
  <cols>
    <col width="41.35" customWidth="1" style="63" min="1" max="1"/>
    <col width="84.88" customWidth="1" style="63" min="2" max="2"/>
  </cols>
  <sheetData>
    <row r="2" ht="24" customHeight="1" s="64">
      <c r="A2" s="65" t="inlineStr">
        <is>
          <t>売らないと決めているもの</t>
        </is>
      </c>
    </row>
    <row r="3" ht="15" customHeight="1" s="64">
      <c r="A3" s="81" t="inlineStr">
        <is>
          <t>これらを売っている制作会社は実際にある。根拠がないものを売らないと決めた。同じ商品棚に並ばないことが、いちばんの違い。</t>
        </is>
      </c>
    </row>
    <row r="5" ht="30" customHeight="1" s="64">
      <c r="A5" s="67" t="inlineStr">
        <is>
          <t>売らないもの</t>
        </is>
      </c>
      <c r="B5" s="67" t="inlineStr">
        <is>
          <t>理由</t>
        </is>
      </c>
    </row>
    <row r="6" ht="43.5" customHeight="1" s="64">
      <c r="A6" s="120" t="inlineStr">
        <is>
          <t>llms.txt の設置</t>
        </is>
      </c>
      <c r="B6" s="72" t="inlineStr">
        <is>
          <t>Googleが公式に「不要」と明記しています。Googleの担当者も「どのAIシステムも使っていない」と発言しています。</t>
        </is>
      </c>
    </row>
    <row r="7" ht="43.5" customHeight="1" s="64">
      <c r="A7" s="120" t="inlineStr">
        <is>
          <t>AI検索最適化（LLMO）</t>
        </is>
      </c>
      <c r="B7" s="72" t="inlineStr">
        <is>
          <t>Googleの公式ガイドが、構造化データもコンテンツの分割もAI向けの書き方も不要だと明言しています。</t>
        </is>
      </c>
    </row>
    <row r="8" ht="43.5" customHeight="1" s="64">
      <c r="A8" s="120" t="inlineStr">
        <is>
          <t>FAQの構造化データ</t>
        </is>
      </c>
      <c r="B8" s="72" t="inlineStr">
        <is>
          <t>2026年5月7日に、Google検索での表示が終了しました。</t>
        </is>
      </c>
    </row>
    <row r="9" ht="43.5" customHeight="1" s="64">
      <c r="A9" s="121" t="inlineStr">
        <is>
          <t>表示速度スコア100点</t>
        </is>
      </c>
      <c r="B9" s="72" t="inlineStr">
        <is>
          <t>Google自身が「SEOのために満点を狙うのは時間の使い方として最善ではない」と書いています。2.5秒以内を守れば十分です。</t>
        </is>
      </c>
    </row>
    <row r="10" ht="43.5" customHeight="1" s="64">
      <c r="A10" s="121" t="inlineStr">
        <is>
          <t>「アクセシビリティ義務化対応」</t>
        </is>
      </c>
      <c r="B10" s="72" t="inlineStr">
        <is>
          <t>2024年に義務化されたのは合理的配慮の提供で、ウェブアクセシビリティ自体は義務化されていません。</t>
        </is>
      </c>
    </row>
    <row r="12" ht="27.75" customHeight="1" s="64">
      <c r="A12" s="87" t="inlineStr">
        <is>
          <t>あわせて約束しないこと：検索順位（順位を保証する会社があれば疑ったほうがいい）／新規客が増えること（美容室の市場は前年比5.9%縮小）／補助金の採択。確実にできるのは、手数料の削減と再来店の導線づくり。そこは数字で確認できる。</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tabColor rgb="FF1F3049"/>
    <outlinePr summaryBelow="1" summaryRight="1"/>
    <pageSetUpPr fitToPage="0"/>
  </sheetPr>
  <dimension ref="A2:F11"/>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9.4453125" defaultRowHeight="15" customHeight="0" zeroHeight="0" outlineLevelRow="0"/>
  <cols>
    <col width="17.41" customWidth="1" style="63" min="1" max="1"/>
    <col width="15.22" customWidth="1" style="63" min="2" max="2"/>
    <col width="13.06" customWidth="1" style="63" min="3" max="3"/>
    <col width="47.88" customWidth="1" style="63" min="4" max="5"/>
    <col width="43.53" customWidth="1" style="63" min="6" max="6"/>
  </cols>
  <sheetData>
    <row r="2" ht="24" customHeight="1" s="64">
      <c r="A2" s="65" t="inlineStr">
        <is>
          <t>業種ごとに何を作るか</t>
        </is>
      </c>
    </row>
    <row r="3" ht="15" customHeight="1" s="64">
      <c r="A3" s="81" t="inlineStr">
        <is>
          <t>値段は業種で変えない。変わるのは作るページの中身。中央値は846件の実発注データより。</t>
        </is>
      </c>
    </row>
    <row r="5" ht="30" customHeight="1" s="64">
      <c r="A5" s="67" t="inlineStr">
        <is>
          <t>業種</t>
        </is>
      </c>
      <c r="B5" s="67" t="inlineStr">
        <is>
          <t>推奨プラン</t>
        </is>
      </c>
      <c r="C5" s="67" t="inlineStr">
        <is>
          <t>制作費の中央値</t>
        </is>
      </c>
      <c r="D5" s="67" t="inlineStr">
        <is>
          <t>必ず入れるもの</t>
        </is>
      </c>
      <c r="E5" s="67" t="inlineStr">
        <is>
          <t>作らないもの</t>
        </is>
      </c>
      <c r="F5" s="67" t="inlineStr">
        <is>
          <t>財源（いまの費用）</t>
        </is>
      </c>
    </row>
    <row r="6" ht="117.75" customHeight="1" s="64">
      <c r="A6" s="69" t="inlineStr">
        <is>
          <t>飲食店</t>
        </is>
      </c>
      <c r="B6" s="122" t="inlineStr">
        <is>
          <t>事業の土台をつくる（6ページ）</t>
        </is>
      </c>
      <c r="C6" s="123" t="inlineStr">
        <is>
          <t>52.8万円</t>
        </is>
      </c>
      <c r="D6" s="116" t="inlineStr">
        <is>
          <t>・メニューを文字で載せます（PDFや画像にしません）
・支給の料理写真を配置します（撮影は別見積もり）
・地図・アクセス・駐車場
・電話と予約の両方を置きます
・営業時間（臨時休業・年末年始まで）</t>
        </is>
      </c>
      <c r="E6" s="124" t="inlineStr">
        <is>
          <t>・Googleの飲食店カルーセルを狙う設定</t>
        </is>
      </c>
      <c r="F6" s="84" t="inlineStr">
        <is>
          <t>食べログのベーシックプラン（税込27,500円）を無料プランに戻しても、ネット予約は固定費0円で使えます。常連さんの予約1件ごとに220円かかる構造から抜けます。</t>
        </is>
      </c>
    </row>
    <row r="7" ht="117.75" customHeight="1" s="64">
      <c r="A7" s="69" t="inlineStr">
        <is>
          <t>工務店・建設</t>
        </is>
      </c>
      <c r="B7" s="122" t="inlineStr">
        <is>
          <t>情報を育てる（9ページ・受付準備中）</t>
        </is>
      </c>
      <c r="C7" s="123" t="inlineStr">
        <is>
          <t>63.4万円</t>
        </is>
      </c>
      <c r="D7" s="116" t="inlineStr">
        <is>
          <t>・施工事例を、増やしていける形で作ります
・性能・構造の説明
・お客様の声（依頼した旨を明記して）
・対応エリアを市町村ごとに
・問い合わせフォームを主役にします</t>
        </is>
      </c>
      <c r="E7" s="124" t="inlineStr">
        <is>
          <t>・会社紹介の作り込み
・「建設業許可番号の掲載は法律で必要」という説明</t>
        </is>
      </c>
      <c r="F7" s="84" t="inlineStr">
        <is>
          <t>この業種はポータルサイトより広告費の見直しが効きます。商圏の外への配信、成約ゼロの検索語、指名検索への過剰な出稿を整理します。</t>
        </is>
      </c>
    </row>
    <row r="8" ht="117.75" customHeight="1" s="64">
      <c r="A8" s="69" t="inlineStr">
        <is>
          <t>美容室・サロン</t>
        </is>
      </c>
      <c r="B8" s="122" t="inlineStr">
        <is>
          <t>事業の土台をつくる（6ページ）</t>
        </is>
      </c>
      <c r="C8" s="123" t="inlineStr">
        <is>
          <t>54.8万円</t>
        </is>
      </c>
      <c r="D8" s="116" t="inlineStr">
        <is>
          <t>・全メニューの料金表（税込・追加料金の条件まで）
・予約ボタンを最優先で置きます
・スタイリストの紹介（顔・得意なこと・指名のしかた）
・スタイルの写真
・電話も残します（50代以上のお客様向け）</t>
        </is>
      </c>
      <c r="E8" s="124" t="inlineStr">
        <is>
          <t>・新規のお客様が増えるという約束</t>
        </is>
      </c>
      <c r="F8" s="84" t="inlineStr">
        <is>
          <t>ホットペッパービューティーの掲載料は公開されていないので、まず直近の請求書を見せてください。無料プランが存在せず、予約売上の2%が手数料としてかかります。</t>
        </is>
      </c>
    </row>
    <row r="9" ht="117.75" customHeight="1" s="64">
      <c r="A9" s="69" t="inlineStr">
        <is>
          <t>士業・専門事務所</t>
        </is>
      </c>
      <c r="B9" s="122" t="inlineStr">
        <is>
          <t>情報を育てる（9ページ・受付準備中）</t>
        </is>
      </c>
      <c r="C9" s="123" t="inlineStr">
        <is>
          <t>40.0万円</t>
        </is>
      </c>
      <c r="D9" s="116" t="inlineStr">
        <is>
          <t>・料金の体系を明示します（範囲・別途費用まで）
・代表・担当者の顔写真と経歴、人柄が伝わる紹介
・取扱分野を具体的に分けて書きます
・電話を最上部に固定します
・返答までの時間を書きます</t>
        </is>
      </c>
      <c r="E9" s="124" t="inlineStr">
        <is>
          <t>・弁護士の方の広告表現</t>
        </is>
      </c>
      <c r="F9" s="84" t="inlineStr">
        <is>
          <t>この業種は広告の獲得単価が高く（3万〜5万円という目安があります）、整理の余地が大きいです。商圏外への配信と、成約ゼロの検索語から見ます。</t>
        </is>
      </c>
    </row>
    <row r="11" ht="27.75" customHeight="1" s="64">
      <c r="A11" s="87" t="inlineStr">
        <is>
          <t>どの業種でも、作ったものはお客様のもの。ドメインは初日からお客様の名義で取り、ソースコードも撮影した写真の元データも渡す。やめても残る。</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tabColor rgb="FF1F3049"/>
    <outlinePr summaryBelow="1" summaryRight="1"/>
    <pageSetUpPr fitToPage="0"/>
  </sheetPr>
  <dimension ref="A2:D28"/>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9.4453125" defaultRowHeight="15" customHeight="0" zeroHeight="0" outlineLevelRow="0"/>
  <cols>
    <col width="10.88" customWidth="1" style="63" min="1" max="1"/>
    <col width="23.94" customWidth="1" style="63" min="2" max="2"/>
    <col width="28.3" customWidth="1" style="63" min="3" max="3"/>
    <col width="65.3" customWidth="1" style="63" min="4" max="4"/>
  </cols>
  <sheetData>
    <row r="2" ht="24" customHeight="1" s="64">
      <c r="A2" s="65" t="inlineStr">
        <is>
          <t>サイトの構成（21ページ）</t>
        </is>
      </c>
    </row>
    <row r="3" ht="15" customHeight="1" s="64">
      <c r="A3" s="81" t="inlineStr">
        <is>
          <t>ヘッダーに入るのは4本だけ。先頭は一番の主張に使う。</t>
        </is>
      </c>
    </row>
    <row r="5" ht="30" customHeight="1" s="64">
      <c r="A5" s="113" t="inlineStr">
        <is>
          <t>#</t>
        </is>
      </c>
      <c r="B5" s="67" t="inlineStr">
        <is>
          <t>ファイル</t>
        </is>
      </c>
      <c r="C5" s="67" t="inlineStr">
        <is>
          <t>見出し</t>
        </is>
      </c>
      <c r="D5" s="67" t="inlineStr">
        <is>
          <t>役割</t>
        </is>
      </c>
    </row>
    <row r="6" ht="15" customHeight="1" s="64">
      <c r="A6" s="91" t="n">
        <v>1</v>
      </c>
      <c r="B6" s="125" t="inlineStr">
        <is>
          <t>index.html</t>
        </is>
      </c>
      <c r="C6" s="69" t="inlineStr">
        <is>
          <t>ホーム</t>
        </is>
      </c>
      <c r="D6" s="84" t="inlineStr">
        <is>
          <t>トップ。主張→地代の比較→料金→総額→補助金→業種→正直に、の順</t>
        </is>
      </c>
    </row>
    <row r="7" ht="15" customHeight="1" s="64">
      <c r="A7" s="91" t="n">
        <v>2</v>
      </c>
      <c r="B7" s="125" t="inlineStr">
        <is>
          <t>owned.html</t>
        </is>
      </c>
      <c r="C7" s="69" t="inlineStr">
        <is>
          <t>借地と所有</t>
        </is>
      </c>
      <c r="D7" s="84" t="inlineStr">
        <is>
          <t>一番の主張。借地と所有。他のページはここを支える材料</t>
        </is>
      </c>
    </row>
    <row r="8" ht="15" customHeight="1" s="64">
      <c r="A8" s="91" t="n">
        <v>3</v>
      </c>
      <c r="B8" s="125" t="inlineStr">
        <is>
          <t>price.html</t>
        </is>
      </c>
      <c r="C8" s="69" t="inlineStr">
        <is>
          <t>料金</t>
        </is>
      </c>
      <c r="D8" s="84" t="inlineStr">
        <is>
          <t>料金の全部。料金と作業枠は2026-09-14改定。着手50%・検収50%、継続支援は月単位。</t>
        </is>
      </c>
    </row>
    <row r="9" ht="15" customHeight="1" s="64">
      <c r="A9" s="91" t="n">
        <v>4</v>
      </c>
      <c r="B9" s="125" t="inlineStr">
        <is>
          <t>unlimited.html</t>
        </is>
      </c>
      <c r="C9" s="69" t="inlineStr">
        <is>
          <t>変更は何回でも</t>
        </is>
      </c>
      <c r="D9" s="84" t="inlineStr">
        <is>
          <t>料金と作業枠は2026-09-14改定。着手50%・検収50%、継続支援は月単位。曖昧にすると揉める</t>
        </is>
      </c>
    </row>
    <row r="10" ht="15" customHeight="1" s="64">
      <c r="A10" s="91" t="n">
        <v>5</v>
      </c>
      <c r="B10" s="125" t="inlineStr">
        <is>
          <t>source.html</t>
        </is>
      </c>
      <c r="C10" s="69" t="inlineStr">
        <is>
          <t>ソースコードの納品</t>
        </is>
      </c>
      <c r="D10" s="84" t="inlineStr">
        <is>
          <t>ソースコードを渡す理由と、渡すものの中身</t>
        </is>
      </c>
    </row>
    <row r="11" ht="15" customHeight="1" s="64">
      <c r="A11" s="91" t="n">
        <v>6</v>
      </c>
      <c r="B11" s="125" t="inlineStr">
        <is>
          <t>cost-cut.html</t>
        </is>
      </c>
      <c r="C11" s="69" t="inlineStr">
        <is>
          <t>掲載費の見直し</t>
        </is>
      </c>
      <c r="D11" s="84" t="inlineStr">
        <is>
          <t>掲載費の見直し。新しい予算の前に、いまの費用を見る</t>
        </is>
      </c>
    </row>
    <row r="12" ht="15" customHeight="1" s="64">
      <c r="A12" s="91" t="n">
        <v>7</v>
      </c>
      <c r="B12" s="125" t="inlineStr">
        <is>
          <t>subsidy.html</t>
        </is>
      </c>
      <c r="C12" s="69" t="inlineStr">
        <is>
          <t>補助金</t>
        </is>
      </c>
      <c r="D12" s="84" t="inlineStr">
        <is>
          <t>補助金の手順と注意点。採択率も自己負担も先に出す</t>
        </is>
      </c>
    </row>
    <row r="13" ht="15" customHeight="1" s="64">
      <c r="A13" s="91" t="n">
        <v>8</v>
      </c>
      <c r="B13" s="125" t="inlineStr">
        <is>
          <t>spec.html</t>
        </is>
      </c>
      <c r="C13" s="69" t="inlineStr">
        <is>
          <t>納品する仕様</t>
        </is>
      </c>
      <c r="D13" s="84" t="inlineStr">
        <is>
          <t>納品する仕様20項目＋売らないもの5件。機械で検証</t>
        </is>
      </c>
    </row>
    <row r="14" ht="15" customHeight="1" s="64">
      <c r="A14" s="91" t="n">
        <v>9</v>
      </c>
      <c r="B14" s="125" t="inlineStr">
        <is>
          <t>flow.html</t>
        </is>
      </c>
      <c r="C14" s="69" t="inlineStr">
        <is>
          <t>制作の流れ</t>
        </is>
      </c>
      <c r="D14" s="84" t="inlineStr">
        <is>
          <t>制作の流れ</t>
        </is>
      </c>
    </row>
    <row r="15" ht="15" customHeight="1" s="64">
      <c r="A15" s="91" t="n">
        <v>10</v>
      </c>
      <c r="B15" s="125" t="inlineStr">
        <is>
          <t>works.html</t>
        </is>
      </c>
      <c r="C15" s="69" t="inlineStr">
        <is>
          <t>制作事例</t>
        </is>
      </c>
      <c r="D15" s="84" t="inlineStr">
        <is>
          <t>制作事例。まだ1件目だと正直に書く</t>
        </is>
      </c>
    </row>
    <row r="16" ht="15" customHeight="1" s="64">
      <c r="A16" s="91" t="n">
        <v>11</v>
      </c>
      <c r="B16" s="125" t="inlineStr">
        <is>
          <t>faq.html</t>
        </is>
      </c>
      <c r="C16" s="69" t="inlineStr">
        <is>
          <t>よくあるご質問</t>
        </is>
      </c>
      <c r="D16" s="84" t="inlineStr">
        <is>
          <t>電話の前に確かめたいこと</t>
        </is>
      </c>
    </row>
    <row r="17" ht="15" customHeight="1" s="64">
      <c r="A17" s="91" t="n">
        <v>12</v>
      </c>
      <c r="B17" s="125" t="inlineStr">
        <is>
          <t>about.html</t>
        </is>
      </c>
      <c r="C17" s="69" t="inlineStr">
        <is>
          <t>私たちについて</t>
        </is>
      </c>
      <c r="D17" s="86" t="inlineStr">
        <is>
          <t>2人でやっていること</t>
        </is>
      </c>
    </row>
    <row r="18" ht="15" customHeight="1" s="64">
      <c r="A18" s="91" t="n">
        <v>13</v>
      </c>
      <c r="B18" s="125" t="inlineStr">
        <is>
          <t>contact.html</t>
        </is>
      </c>
      <c r="C18" s="69" t="inlineStr">
        <is>
          <t>相談する</t>
        </is>
      </c>
      <c r="D18" s="84" t="inlineStr">
        <is>
          <t>相談する。聞くのは3つだけ</t>
        </is>
      </c>
    </row>
    <row r="19" ht="15" customHeight="1" s="64">
      <c r="A19" s="91" t="n">
        <v>14</v>
      </c>
      <c r="B19" s="125" t="inlineStr">
        <is>
          <t>terms.html</t>
        </is>
      </c>
      <c r="C19" s="69" t="inlineStr">
        <is>
          <t>ご契約とお約束</t>
        </is>
      </c>
      <c r="D19" s="84" t="inlineStr">
        <is>
          <t>ご契約とお約束（弁護士確認が未了）</t>
        </is>
      </c>
    </row>
    <row r="20" ht="15" customHeight="1" s="64">
      <c r="A20" s="91" t="n">
        <v>15</v>
      </c>
      <c r="B20" s="125" t="inlineStr">
        <is>
          <t>privacy.html</t>
        </is>
      </c>
      <c r="C20" s="69" t="inlineStr">
        <is>
          <t>個人情報の取り扱い</t>
        </is>
      </c>
      <c r="D20" s="84" t="inlineStr">
        <is>
          <t>個人情報の取り扱い。アクセス解析もCookieも使っていない</t>
        </is>
      </c>
    </row>
    <row r="21" ht="15" customHeight="1" s="64">
      <c r="A21" s="91" t="n">
        <v>16</v>
      </c>
      <c r="B21" s="125" t="inlineStr">
        <is>
          <t>legal.html</t>
        </is>
      </c>
      <c r="C21" s="69" t="inlineStr">
        <is>
          <t>特定商取引法に基づく表記</t>
        </is>
      </c>
      <c r="D21" s="84" t="inlineStr">
        <is>
          <t>特定商取引法に基づく表記</t>
        </is>
      </c>
    </row>
    <row r="22" ht="15" customHeight="1" s="64">
      <c r="A22" s="91" t="n">
        <v>17</v>
      </c>
      <c r="B22" s="125" t="inlineStr">
        <is>
          <t>restaurant.html</t>
        </is>
      </c>
      <c r="C22" s="69" t="inlineStr">
        <is>
          <t>飲食店（業種別）</t>
        </is>
      </c>
      <c r="D22" s="84" t="inlineStr">
        <is>
          <t>メニューと写真と予約導線。食べログの掲載費の見直しまで。</t>
        </is>
      </c>
    </row>
    <row r="23" ht="15" customHeight="1" s="64">
      <c r="A23" s="91" t="n">
        <v>18</v>
      </c>
      <c r="B23" s="125" t="inlineStr">
        <is>
          <t>koumuten.html</t>
        </is>
      </c>
      <c r="C23" s="69" t="inlineStr">
        <is>
          <t>工務店・建設（業種別）</t>
        </is>
      </c>
      <c r="D23" s="84" t="inlineStr">
        <is>
          <t>施工事例が増えていく設計。問い合わせフォームが主役。</t>
        </is>
      </c>
    </row>
    <row r="24" ht="15" customHeight="1" s="64">
      <c r="A24" s="91" t="n">
        <v>19</v>
      </c>
      <c r="B24" s="125" t="inlineStr">
        <is>
          <t>salon.html</t>
        </is>
      </c>
      <c r="C24" s="69" t="inlineStr">
        <is>
          <t>美容室・サロン（業種別）</t>
        </is>
      </c>
      <c r="D24" s="84" t="inlineStr">
        <is>
          <t>全メニューの料金表と予約導線。掲載費の棚卸しから。</t>
        </is>
      </c>
    </row>
    <row r="25" ht="15" customHeight="1" s="64">
      <c r="A25" s="91" t="n">
        <v>20</v>
      </c>
      <c r="B25" s="125" t="inlineStr">
        <is>
          <t>shigyo.html</t>
        </is>
      </c>
      <c r="C25" s="69" t="inlineStr">
        <is>
          <t>士業・専門事務所（業種別）</t>
        </is>
      </c>
      <c r="D25" s="84" t="inlineStr">
        <is>
          <t>料金を明示して、人柄が伝わること。電話を最上部に。</t>
        </is>
      </c>
    </row>
    <row r="26" ht="15" customHeight="1" s="64">
      <c r="A26" s="91" t="n">
        <v>21</v>
      </c>
      <c r="B26" s="125" t="inlineStr">
        <is>
          <t>404.html</t>
        </is>
      </c>
      <c r="C26" s="69" t="inlineStr">
        <is>
          <t>ページが見つかりません</t>
        </is>
      </c>
      <c r="D26" s="84" t="inlineStr">
        <is>
          <t>行き止まりにせず、電話とトップに戻す</t>
        </is>
      </c>
    </row>
    <row r="28" ht="27.75" customHeight="1" s="64">
      <c r="A28" s="87" t="inlineStr">
        <is>
          <t>ヘッダーに入る4本：借地と所有／料金／掲載費の見直し／補助金。robots.txt と sitemap.xml も出力する。llms.txt は作らない（根拠がないため。検査が見張っている）。</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1"/>
  </sheetPr>
  <dimension ref="A2:F18"/>
  <sheetViews>
    <sheetView showFormulas="0" showGridLines="0" showRowColHeaders="1" showZeros="1" rightToLeft="0" tabSelected="0"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baseColWidth="8" defaultColWidth="9.4453125" defaultRowHeight="15" customHeight="0" zeroHeight="0" outlineLevelRow="0"/>
  <cols>
    <col width="30.47" customWidth="1" style="63" min="1" max="1"/>
    <col width="21.78" customWidth="1" style="63" min="2" max="3"/>
    <col width="19.59" customWidth="1" style="63" min="4" max="5"/>
    <col width="76.17" customWidth="1" style="63" min="6" max="6"/>
  </cols>
  <sheetData>
    <row r="2" ht="31.5" customHeight="1" s="64">
      <c r="A2" s="96" t="inlineStr">
        <is>
          <t>紬｜料金表</t>
        </is>
      </c>
    </row>
    <row r="3" ht="48" customHeight="1" s="64">
      <c r="A3" s="97" t="inlineStr">
        <is>
          <t>全額税別。外部費・撮影は別。着手50%・検収50%。支援は月単位・前月末申出で翌月変更。既存契約への遡及適用なし。</t>
        </is>
      </c>
      <c r="B3" s="98" t="n"/>
      <c r="C3" s="98" t="n"/>
      <c r="D3" s="98" t="n"/>
      <c r="E3" s="98" t="n"/>
      <c r="F3" s="98" t="n"/>
    </row>
    <row r="5" ht="15" customHeight="1" s="64">
      <c r="A5" s="67" t="inlineStr">
        <is>
          <t>商品</t>
        </is>
      </c>
      <c r="B5" s="67" t="inlineStr">
        <is>
          <t>ページ/支援枠</t>
        </is>
      </c>
      <c r="C5" s="67" t="inlineStr">
        <is>
          <t>税別料金</t>
        </is>
      </c>
      <c r="D5" s="67" t="inlineStr">
        <is>
          <t>着手時</t>
        </is>
      </c>
      <c r="E5" s="67" t="inlineStr">
        <is>
          <t>検収時</t>
        </is>
      </c>
      <c r="F5" s="67" t="inlineStr">
        <is>
          <t>備考</t>
        </is>
      </c>
    </row>
    <row r="6" ht="63.75" customHeight="1" s="64">
      <c r="A6" s="99" t="inlineStr">
        <is>
          <t>入口をつくる</t>
        </is>
      </c>
      <c r="B6" s="102" t="inlineStr">
        <is>
          <t>1ページ以内</t>
        </is>
      </c>
      <c r="C6" s="101" t="n">
        <f>料金レバー!$C$7</f>
        <v>79800</v>
      </c>
      <c r="D6" s="101" t="n">
        <f>ROUNDDOWN(C6*料金レバー!$C$12,0)</f>
        <v>39900</v>
      </c>
      <c r="E6" s="101" t="n">
        <f>C6-D6</f>
        <v>39900</v>
      </c>
      <c r="F6" s="99" t="inlineStr">
        <is>
          <t>支給素材を使い、1ページで事業を伝える。既存の構成を選び、確認1回で仕上げます。</t>
        </is>
      </c>
    </row>
    <row r="7" ht="63.75" customHeight="1" s="64">
      <c r="A7" s="99" t="inlineStr">
        <is>
          <t>事業の土台をつくる</t>
        </is>
      </c>
      <c r="B7" s="102" t="inlineStr">
        <is>
          <t>6ページ以内</t>
        </is>
      </c>
      <c r="C7" s="101" t="n">
        <f>料金レバー!$C$8</f>
        <v>198000</v>
      </c>
      <c r="D7" s="101" t="n">
        <f>ROUNDDOWN(C7*料金レバー!$C$12,0)</f>
        <v>99000</v>
      </c>
      <c r="E7" s="101" t="n">
        <f>C7-D7</f>
        <v>99000</v>
      </c>
      <c r="F7" s="99" t="inlineStr">
        <is>
          <t>最大6ページでサービス・料金・信頼情報を整理。写真持込、確認2回。</t>
        </is>
      </c>
    </row>
    <row r="8" ht="63.75" customHeight="1" s="64">
      <c r="A8" s="99" t="inlineStr">
        <is>
          <t>情報を育てる</t>
        </is>
      </c>
      <c r="B8" s="102" t="inlineStr">
        <is>
          <t>9ページ以内</t>
        </is>
      </c>
      <c r="C8" s="101" t="n">
        <f>料金レバー!$C$9</f>
        <v>398000</v>
      </c>
      <c r="D8" s="101" t="n">
        <f>ROUNDDOWN(C8*料金レバー!$C$12,0)</f>
        <v>199000</v>
      </c>
      <c r="E8" s="101" t="n">
        <f>C8-D8</f>
        <v>199000</v>
      </c>
      <c r="F8" s="99" t="inlineStr">
        <is>
          <t>受付準備中。管理画面・記事と事例のテンプレートを提供確認後に受付を開始します。</t>
        </is>
      </c>
    </row>
    <row r="11" ht="63.75" customHeight="1" s="64">
      <c r="A11" s="99" t="inlineStr">
        <is>
          <t>自分で管理</t>
        </is>
      </c>
      <c r="B11" s="102" t="inlineStr">
        <is>
          <t>0分/月</t>
        </is>
      </c>
      <c r="C11" s="101" t="n">
        <f>料金レバー!$C$23</f>
        <v>0</v>
      </c>
      <c r="D11" s="99" t="n"/>
      <c r="E11" s="99" t="n"/>
      <c r="F11" s="99" t="inlineStr">
        <is>
          <t>納品時の引継ぎ資料／月次監視・変更作業・継続相談は含みません</t>
        </is>
      </c>
    </row>
    <row r="12" ht="63.75" customHeight="1" s="64">
      <c r="A12" s="99" t="inlineStr">
        <is>
          <t>守る</t>
        </is>
      </c>
      <c r="B12" s="102" t="inlineStr">
        <is>
          <t>0分/月</t>
        </is>
      </c>
      <c r="C12" s="101" t="n">
        <f>料金レバー!$C$20</f>
        <v>3900</v>
      </c>
      <c r="D12" s="99" t="n"/>
      <c r="E12" s="99" t="n"/>
      <c r="F12" s="99" t="inlineStr">
        <is>
          <t>定型監視・期限管理（外部サービス実費別）／週次バックアップの確認／障害時の一次切り分け（営業時間内）／通常の変更・投稿・会議は対象外</t>
        </is>
      </c>
    </row>
    <row r="13" ht="63.75" customHeight="1" s="64">
      <c r="A13" s="99" t="inlineStr">
        <is>
          <t>整える</t>
        </is>
      </c>
      <c r="B13" s="102" t="inlineStr">
        <is>
          <t>30分/月</t>
        </is>
      </c>
      <c r="C13" s="101" t="n">
        <f>料金レバー!$C$21</f>
        <v>9800</v>
      </c>
      <c r="D13" s="99" t="n"/>
      <c r="E13" s="99" t="n"/>
      <c r="F13" s="99" t="inlineStr">
        <is>
          <t>「守る」の内容を含む／月30分の変更作業／作業履歴と使用時間の共有／枠を超える前に翌月対応か追加見積もりを選択</t>
        </is>
      </c>
    </row>
    <row r="14" ht="63.75" customHeight="1" s="64">
      <c r="A14" s="99" t="inlineStr">
        <is>
          <t>育てる</t>
        </is>
      </c>
      <c r="B14" s="102" t="inlineStr">
        <is>
          <t>90分/月</t>
        </is>
      </c>
      <c r="C14" s="101" t="n">
        <f>料金レバー!$C$22</f>
        <v>29800</v>
      </c>
      <c r="D14" s="99" t="n"/>
      <c r="E14" s="99" t="n"/>
      <c r="F14" s="99" t="inlineStr">
        <is>
          <t>「守る」の内容を含む／月90分の改善作業／月30分の打合せ／施策1件の確認記録／作業枠を資料・フォーム・既存SaaS設定にも利用可／広告費・撮影・独自開発・記事の量産は対象外</t>
        </is>
      </c>
    </row>
    <row r="16" ht="64.5" customHeight="1" s="64">
      <c r="A16" s="97" t="inlineStr">
        <is>
          <t>サーバー・ドメイン・CMS・フォーム等は実費。納品時の引継ぎを含みます。支援を終了しても外部契約の費用は残ります。第三者の素材・サービスはその利用条件に従います。</t>
        </is>
      </c>
      <c r="B16" s="98" t="n"/>
      <c r="C16" s="98" t="n"/>
      <c r="D16" s="98" t="n"/>
      <c r="E16" s="98" t="n"/>
      <c r="F16" s="98" t="n"/>
    </row>
    <row r="18" ht="64.5" customHeight="1" s="64">
      <c r="A18" s="97" t="inlineStr">
        <is>
          <t>増築時の充当: 同一事業・再利用できる構成・納品12か月以内・1回のみ。通常の変更は月合計を5分単位で切上げ、繰越なし。枠を超える前に次月対応か別見積もりを選択。</t>
        </is>
      </c>
      <c r="B18" s="98" t="n"/>
      <c r="C18" s="98" t="n"/>
      <c r="D18" s="98" t="n"/>
      <c r="E18" s="98" t="n"/>
      <c r="F18" s="98" t="n"/>
    </row>
  </sheetData>
  <mergeCells count="4">
    <mergeCell ref="A3:F3"/>
    <mergeCell ref="A2:F2"/>
    <mergeCell ref="A16:F16"/>
    <mergeCell ref="A18:F18"/>
  </mergeCell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1"/>
  </sheetPr>
  <dimension ref="A2:G14"/>
  <sheetViews>
    <sheetView showFormulas="0" showGridLines="0" showRowColHeaders="1" showZeros="1" rightToLeft="0" tabSelected="0"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baseColWidth="8" defaultColWidth="9.4453125" defaultRowHeight="15" customHeight="0" zeroHeight="0" outlineLevelRow="0"/>
  <cols>
    <col width="28.3" customWidth="1" style="63" min="1" max="1"/>
    <col width="18.5" customWidth="1" style="63" min="2" max="3"/>
    <col width="21.78" customWidth="1" style="63" min="4" max="4"/>
    <col width="20.68" customWidth="1" style="63" min="5" max="6"/>
    <col width="23.94" customWidth="1" style="63" min="7" max="7"/>
  </cols>
  <sheetData>
    <row r="2" ht="31.5" customHeight="1" s="64">
      <c r="A2" s="103" t="inlineStr">
        <is>
          <t>36か月の総額（外部費概算を含む）</t>
        </is>
      </c>
    </row>
    <row r="3" ht="48" customHeight="1" s="64">
      <c r="A3" s="97" t="inlineStr">
        <is>
          <t>紬は保守契約なし・制作のみ。外部実費は別途。比較先は月5回の更新を含み、紬は自分で管理します。</t>
        </is>
      </c>
      <c r="B3" s="98" t="n"/>
      <c r="C3" s="98" t="n"/>
      <c r="D3" s="98" t="n"/>
      <c r="E3" s="98" t="n"/>
      <c r="F3" s="98" t="n"/>
      <c r="G3" s="98" t="n"/>
    </row>
    <row r="5" ht="15" customHeight="1" s="64">
      <c r="A5" s="67" t="inlineStr">
        <is>
          <t>商品</t>
        </is>
      </c>
      <c r="B5" s="67" t="inlineStr">
        <is>
          <t>制作費</t>
        </is>
      </c>
      <c r="C5" s="67" t="inlineStr">
        <is>
          <t>任意の月次支援</t>
        </is>
      </c>
      <c r="D5" s="67" t="inlineStr">
        <is>
          <t>月次外部費概算</t>
        </is>
      </c>
      <c r="E5" s="67" t="inlineStr">
        <is>
          <t>紬の総額</t>
        </is>
      </c>
      <c r="F5" s="67" t="inlineStr">
        <is>
          <t>参考先の総額</t>
        </is>
      </c>
      <c r="G5" s="67" t="inlineStr">
        <is>
          <t>差（紬−参考先）</t>
        </is>
      </c>
    </row>
    <row r="6" ht="63.75" customHeight="1" s="64">
      <c r="A6" s="99" t="inlineStr">
        <is>
          <t>入口をつくる</t>
        </is>
      </c>
      <c r="B6" s="101" t="n">
        <f>料金レバー!$C$7</f>
        <v>79800</v>
      </c>
      <c r="C6" s="101" t="n">
        <f>料金レバー!$C$23</f>
        <v>0</v>
      </c>
      <c r="D6" s="101" t="n">
        <f>料金レバー!$C$16</f>
        <v>3500</v>
      </c>
      <c r="E6" s="101" t="n">
        <f>B6+(C6+D6)*料金レバー!$C$25</f>
        <v>205800</v>
      </c>
      <c r="F6" s="101" t="n">
        <f>料金レバー!$C$29+料金レバー!$C$26*料金レバー!$C$25</f>
        <v>357800</v>
      </c>
      <c r="G6" s="101" t="n">
        <f>E6-F6</f>
        <v>-152000</v>
      </c>
    </row>
    <row r="7" ht="63.75" customHeight="1" s="64">
      <c r="A7" s="99" t="inlineStr">
        <is>
          <t>事業の土台をつくる</t>
        </is>
      </c>
      <c r="B7" s="101" t="n">
        <f>料金レバー!$C$8</f>
        <v>198000</v>
      </c>
      <c r="C7" s="101" t="n">
        <f>料金レバー!$C$23</f>
        <v>0</v>
      </c>
      <c r="D7" s="101" t="n">
        <f>料金レバー!$C$16</f>
        <v>3500</v>
      </c>
      <c r="E7" s="101" t="n">
        <f>B7+(C7+D7)*料金レバー!$C$25</f>
        <v>324000</v>
      </c>
      <c r="F7" s="101" t="n">
        <f>料金レバー!$C$29+料金レバー!$C$27*料金レバー!$C$25</f>
        <v>537800</v>
      </c>
      <c r="G7" s="101" t="n">
        <f>E7-F7</f>
        <v>-213800</v>
      </c>
    </row>
    <row r="8" ht="63.75" customHeight="1" s="64">
      <c r="A8" s="99" t="inlineStr">
        <is>
          <t>情報を育てる</t>
        </is>
      </c>
      <c r="B8" s="101" t="n">
        <f>料金レバー!$C$9</f>
        <v>398000</v>
      </c>
      <c r="C8" s="101" t="n">
        <f>料金レバー!$C$23</f>
        <v>0</v>
      </c>
      <c r="D8" s="101" t="n">
        <f>料金レバー!$C$16</f>
        <v>3500</v>
      </c>
      <c r="E8" s="101" t="n">
        <f>B8+(C8+D8)*料金レバー!$C$25</f>
        <v>524000</v>
      </c>
      <c r="F8" s="101" t="n">
        <f>料金レバー!$C$29+料金レバー!$C$28*料金レバー!$C$25</f>
        <v>717800</v>
      </c>
      <c r="G8" s="101" t="n">
        <f>E8-F8</f>
        <v>-193800</v>
      </c>
    </row>
    <row r="10" ht="63.75" customHeight="1" s="64">
      <c r="A10" s="99" t="inlineStr">
        <is>
          <t>土台＋整える</t>
        </is>
      </c>
      <c r="B10" s="101" t="n">
        <f>料金レバー!$C$8</f>
        <v>198000</v>
      </c>
      <c r="C10" s="101" t="n">
        <f>料金レバー!$C$21</f>
        <v>9800</v>
      </c>
      <c r="D10" s="101" t="n">
        <f>料金レバー!$C$16</f>
        <v>3500</v>
      </c>
      <c r="E10" s="101" t="n">
        <f>B10+(C10+D10)*料金レバー!$C$25</f>
        <v>676800</v>
      </c>
      <c r="F10" s="101" t="n">
        <f>料金レバー!$C$29+料金レバー!$C$27*料金レバー!$C$25</f>
        <v>537800</v>
      </c>
      <c r="G10" s="101" t="n">
        <f>E10-F10</f>
        <v>139000</v>
      </c>
    </row>
    <row r="12" ht="64.5" customHeight="1" s="64">
      <c r="A12" s="97" t="inlineStr">
        <is>
          <t>すべて税別。紬の制作は79,800円から、保守契約なしなら紬への月額0円。外部費は概算。育てるは受付準備中。比較先は最低6か月、36か月後の継続・譲渡条件を確認。</t>
        </is>
      </c>
      <c r="B12" s="98" t="n"/>
      <c r="C12" s="98" t="n"/>
      <c r="D12" s="98" t="n"/>
      <c r="E12" s="98" t="n"/>
      <c r="F12" s="98" t="n"/>
      <c r="G12" s="98" t="n"/>
    </row>
    <row r="14" ht="64.5" customHeight="1" s="64">
      <c r="A14" s="97" t="inlineStr">
        <is>
          <t>出典: https://www.propagateinc.com/web-design（2026-09-14）。制作・更新量・所有条件・外部費の違いを契約前に比較します。</t>
        </is>
      </c>
      <c r="B14" s="98" t="n"/>
      <c r="C14" s="98" t="n"/>
      <c r="D14" s="98" t="n"/>
      <c r="E14" s="98" t="n"/>
      <c r="F14" s="98" t="n"/>
      <c r="G14" s="98" t="n"/>
    </row>
  </sheetData>
  <mergeCells count="4">
    <mergeCell ref="A3:G3"/>
    <mergeCell ref="A2:G2"/>
    <mergeCell ref="A12:G12"/>
    <mergeCell ref="A14:G14"/>
  </mergeCell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0"/>
  </sheetPr>
  <dimension ref="A1:C11"/>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9.4453125" defaultRowHeight="15" customHeight="0" zeroHeight="0" outlineLevelRow="0"/>
  <cols>
    <col width="41.35" customWidth="1" style="63" min="1" max="1"/>
    <col width="26.12" customWidth="1" style="63" min="2" max="2"/>
    <col width="92.5" customWidth="1" style="63" min="3" max="3"/>
  </cols>
  <sheetData>
    <row r="1" ht="15" customHeight="1" s="64">
      <c r="A1" s="63" t="inlineStr">
        <is>
          <t>項目</t>
        </is>
      </c>
      <c r="B1" s="63" t="inlineStr">
        <is>
          <t>入力または算式</t>
        </is>
      </c>
      <c r="C1" s="63" t="inlineStr">
        <is>
          <t>出所・意味</t>
        </is>
      </c>
    </row>
    <row r="2" ht="63.75" customHeight="1" s="64">
      <c r="A2" s="99" t="inlineStr">
        <is>
          <t>本人の月間時間</t>
        </is>
      </c>
      <c r="B2" s="126" t="n">
        <f>料金レバー!$C$45</f>
        <v>140</v>
      </c>
      <c r="C2" s="99" t="inlineStr">
        <is>
          <t>ユーザー指定</t>
        </is>
      </c>
    </row>
    <row r="3" ht="63.75" customHeight="1" s="64">
      <c r="A3" s="99" t="inlineStr">
        <is>
          <t>営業・事務等</t>
        </is>
      </c>
      <c r="B3" s="126" t="n">
        <f>料金レバー!$C$46</f>
        <v>28</v>
      </c>
      <c r="C3" s="99" t="inlineStr">
        <is>
          <t>仮定 / tools/pricing/proposal.json</t>
        </is>
      </c>
    </row>
    <row r="4" ht="63.75" customHeight="1" s="64">
      <c r="A4" s="99" t="inlineStr">
        <is>
          <t>予備</t>
        </is>
      </c>
      <c r="B4" s="126" t="n">
        <f>料金レバー!$C$47</f>
        <v>28</v>
      </c>
      <c r="C4" s="99" t="inlineStr">
        <is>
          <t>仮定 / tools/pricing/proposal.json</t>
        </is>
      </c>
    </row>
    <row r="5" ht="63.75" customHeight="1" s="64">
      <c r="A5" s="99" t="inlineStr">
        <is>
          <t>契約可能な時間</t>
        </is>
      </c>
      <c r="B5" s="127" t="n">
        <f>B2-B3-B4</f>
        <v>84</v>
      </c>
      <c r="C5" s="99" t="inlineStr">
        <is>
          <t>計算結果。予備時間を売らない</t>
        </is>
      </c>
    </row>
    <row r="6" ht="63.75" customHeight="1" s="64">
      <c r="A6" s="99" t="inlineStr">
        <is>
          <t>本人時間の評価単価</t>
        </is>
      </c>
      <c r="B6" s="126" t="n">
        <f>料金レバー!$C$48</f>
        <v>5000</v>
      </c>
      <c r="C6" s="99" t="inlineStr">
        <is>
          <t>未検証の仮定・税引後手取りではない</t>
        </is>
      </c>
    </row>
    <row r="7" ht="63.75" customHeight="1" s="64">
      <c r="A7" s="99" t="inlineStr">
        <is>
          <t>本人時間の全体原価</t>
        </is>
      </c>
      <c r="B7" s="127" t="n">
        <f>B2*B6</f>
        <v>700000</v>
      </c>
      <c r="C7" s="99" t="inlineStr">
        <is>
          <t>全140時間を一度だけ評価</t>
        </is>
      </c>
    </row>
    <row r="8" ht="63.75" customHeight="1" s="64">
      <c r="A8" s="99" t="inlineStr">
        <is>
          <t>モデル制作時間</t>
        </is>
      </c>
      <c r="B8" s="126" t="n">
        <f>料金レバー!$C$49+料金レバー!$C$50</f>
        <v>41</v>
      </c>
      <c r="C8" s="99" t="inlineStr">
        <is>
          <t>土台1件15h＋情報育成1件26h。CMS提供開始後の条件付き</t>
        </is>
      </c>
    </row>
    <row r="9" ht="63.75" customHeight="1" s="64">
      <c r="A9" s="99" t="inlineStr">
        <is>
          <t>モデル支援時間</t>
        </is>
      </c>
      <c r="B9" s="126" t="n">
        <f>料金レバー!$C$51*料金レバー!$C$54+料金レバー!$C$52*料金レバー!$C$55+料金レバー!$C$53*料金レバー!$C$56</f>
        <v>28.5</v>
      </c>
      <c r="C9" s="99" t="inlineStr">
        <is>
          <t>守る10社・整える16社・育てる6社。未検証工数</t>
        </is>
      </c>
    </row>
    <row r="10" ht="63.75" customHeight="1" s="64">
      <c r="A10" s="99" t="inlineStr">
        <is>
          <t>契約時間の余白</t>
        </is>
      </c>
      <c r="B10" s="127" t="n">
        <f>B5-B8-B9</f>
        <v>14.5</v>
      </c>
      <c r="C10" s="99" t="inlineStr">
        <is>
          <t>営業・予備を別に確保したうえでの余白</t>
        </is>
      </c>
    </row>
    <row r="11" ht="63.75" customHeight="1" s="64">
      <c r="A11" s="102" t="inlineStr">
        <is>
          <t>25%の工数増での余白</t>
        </is>
      </c>
      <c r="B11" s="127" t="n">
        <f>B5-(B8+B9)*(1+料金レバー!$C$57)</f>
        <v>-2.875</v>
      </c>
      <c r="C11" s="99" t="inlineStr">
        <is>
          <t>負なら追加受注を止める。未検証の感度ケース</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2026-09-13T22:41:09Z</dcterms:created>
  <dcterms:modified xmlns:dcterms="http://purl.org/dc/terms/" xmlns:xsi="http://www.w3.org/2001/XMLSchema-instance" xsi:type="dcterms:W3CDTF">2026-09-16T14:49:57Z</dcterms:modified>
  <cp:revision>0</cp:revision>
</cp:coreProperties>
</file>